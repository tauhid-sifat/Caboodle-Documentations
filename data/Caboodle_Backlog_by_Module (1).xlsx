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My Code\Caboodle\data\"/>
    </mc:Choice>
  </mc:AlternateContent>
  <xr:revisionPtr revIDLastSave="0" documentId="13_ncr:1_{18D58180-1730-401F-96FB-B3FB5E7A8D05}" xr6:coauthVersionLast="47" xr6:coauthVersionMax="47" xr10:uidLastSave="{00000000-0000-0000-0000-000000000000}"/>
  <bookViews>
    <workbookView xWindow="-108" yWindow="-108" windowWidth="23256" windowHeight="12456" tabRatio="500" firstSheet="3" activeTab="6" xr2:uid="{00000000-000D-0000-FFFF-FFFF00000000}"/>
  </bookViews>
  <sheets>
    <sheet name="README" sheetId="1" r:id="rId1"/>
    <sheet name="Module Summary" sheetId="2" r:id="rId2"/>
    <sheet name="All Tickets (Master)" sheetId="3" r:id="rId3"/>
    <sheet name="Broker Dashboard" sheetId="4" r:id="rId4"/>
    <sheet name="Brand Modules" sheetId="5" r:id="rId5"/>
    <sheet name="STORE REPORT MGMT " sheetId="9" r:id="rId6"/>
    <sheet name="Reports" sheetId="6" r:id="rId7"/>
    <sheet name="Admin" sheetId="7" r:id="rId8"/>
    <sheet name="Platform &amp; Cross-Cutting" sheetId="8" r:id="rId9"/>
  </sheets>
  <definedNames>
    <definedName name="_xlnm._FilterDatabase" localSheetId="2" hidden="1">'All Tickets (Master)'!$A$1:$M$231</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N31" i="2" l="1"/>
  <c r="M31" i="2"/>
  <c r="L31" i="2"/>
  <c r="K31" i="2"/>
  <c r="J31" i="2"/>
  <c r="I31" i="2"/>
  <c r="H31" i="2"/>
  <c r="G31" i="2"/>
  <c r="F31" i="2"/>
  <c r="E31" i="2"/>
  <c r="D31" i="2"/>
  <c r="C31" i="2"/>
  <c r="N30" i="2"/>
  <c r="M30" i="2"/>
  <c r="L30" i="2"/>
  <c r="K30" i="2"/>
  <c r="J30" i="2"/>
  <c r="I30" i="2"/>
  <c r="H30" i="2"/>
  <c r="G30" i="2"/>
  <c r="F30" i="2"/>
  <c r="E30" i="2"/>
  <c r="D30" i="2"/>
  <c r="C30" i="2"/>
  <c r="N29" i="2"/>
  <c r="M29" i="2"/>
  <c r="L29" i="2"/>
  <c r="K29" i="2"/>
  <c r="J29" i="2"/>
  <c r="I29" i="2"/>
  <c r="H29" i="2"/>
  <c r="G29" i="2"/>
  <c r="F29" i="2"/>
  <c r="E29" i="2"/>
  <c r="D29" i="2"/>
  <c r="C29" i="2"/>
  <c r="N28" i="2"/>
  <c r="M28" i="2"/>
  <c r="L28" i="2"/>
  <c r="K28" i="2"/>
  <c r="J28" i="2"/>
  <c r="I28" i="2"/>
  <c r="H28" i="2"/>
  <c r="G28" i="2"/>
  <c r="F28" i="2"/>
  <c r="E28" i="2"/>
  <c r="D28" i="2"/>
  <c r="C28" i="2"/>
  <c r="N27" i="2"/>
  <c r="M27" i="2"/>
  <c r="L27" i="2"/>
  <c r="K27" i="2"/>
  <c r="J27" i="2"/>
  <c r="I27" i="2"/>
  <c r="H27" i="2"/>
  <c r="G27" i="2"/>
  <c r="F27" i="2"/>
  <c r="E27" i="2"/>
  <c r="D27" i="2"/>
  <c r="C27" i="2"/>
  <c r="N26" i="2"/>
  <c r="M26" i="2"/>
  <c r="L26" i="2"/>
  <c r="K26" i="2"/>
  <c r="J26" i="2"/>
  <c r="I26" i="2"/>
  <c r="H26" i="2"/>
  <c r="G26" i="2"/>
  <c r="F26" i="2"/>
  <c r="E26" i="2"/>
  <c r="D26" i="2"/>
  <c r="C26" i="2"/>
  <c r="N25" i="2"/>
  <c r="M25" i="2"/>
  <c r="L25" i="2"/>
  <c r="K25" i="2"/>
  <c r="J25" i="2"/>
  <c r="I25" i="2"/>
  <c r="H25" i="2"/>
  <c r="G25" i="2"/>
  <c r="F25" i="2"/>
  <c r="E25" i="2"/>
  <c r="D25" i="2"/>
  <c r="C25" i="2"/>
  <c r="N24" i="2"/>
  <c r="M24" i="2"/>
  <c r="L24" i="2"/>
  <c r="K24" i="2"/>
  <c r="J24" i="2"/>
  <c r="I24" i="2"/>
  <c r="H24" i="2"/>
  <c r="G24" i="2"/>
  <c r="F24" i="2"/>
  <c r="E24" i="2"/>
  <c r="D24" i="2"/>
  <c r="C24" i="2"/>
  <c r="N23" i="2"/>
  <c r="M23" i="2"/>
  <c r="L23" i="2"/>
  <c r="K23" i="2"/>
  <c r="J23" i="2"/>
  <c r="I23" i="2"/>
  <c r="H23" i="2"/>
  <c r="G23" i="2"/>
  <c r="F23" i="2"/>
  <c r="E23" i="2"/>
  <c r="D23" i="2"/>
  <c r="C23" i="2"/>
  <c r="N22" i="2"/>
  <c r="M22" i="2"/>
  <c r="L22" i="2"/>
  <c r="K22" i="2"/>
  <c r="J22" i="2"/>
  <c r="I22" i="2"/>
  <c r="H22" i="2"/>
  <c r="G22" i="2"/>
  <c r="F22" i="2"/>
  <c r="E22" i="2"/>
  <c r="D22" i="2"/>
  <c r="C22" i="2"/>
  <c r="N21" i="2"/>
  <c r="M21" i="2"/>
  <c r="L21" i="2"/>
  <c r="K21" i="2"/>
  <c r="J21" i="2"/>
  <c r="I21" i="2"/>
  <c r="H21" i="2"/>
  <c r="G21" i="2"/>
  <c r="F21" i="2"/>
  <c r="E21" i="2"/>
  <c r="D21" i="2"/>
  <c r="C21" i="2"/>
  <c r="N20" i="2"/>
  <c r="M20" i="2"/>
  <c r="L20" i="2"/>
  <c r="K20" i="2"/>
  <c r="J20" i="2"/>
  <c r="I20" i="2"/>
  <c r="H20" i="2"/>
  <c r="G20" i="2"/>
  <c r="F20" i="2"/>
  <c r="E20" i="2"/>
  <c r="D20" i="2"/>
  <c r="C20" i="2"/>
  <c r="N19" i="2"/>
  <c r="M19" i="2"/>
  <c r="L19" i="2"/>
  <c r="K19" i="2"/>
  <c r="J19" i="2"/>
  <c r="I19" i="2"/>
  <c r="H19" i="2"/>
  <c r="G19" i="2"/>
  <c r="F19" i="2"/>
  <c r="E19" i="2"/>
  <c r="D19" i="2"/>
  <c r="C19" i="2"/>
  <c r="N18" i="2"/>
  <c r="M18" i="2"/>
  <c r="L18" i="2"/>
  <c r="K18" i="2"/>
  <c r="J18" i="2"/>
  <c r="I18" i="2"/>
  <c r="H18" i="2"/>
  <c r="G18" i="2"/>
  <c r="F18" i="2"/>
  <c r="E18" i="2"/>
  <c r="D18" i="2"/>
  <c r="C18" i="2"/>
  <c r="N17" i="2"/>
  <c r="M17" i="2"/>
  <c r="L17" i="2"/>
  <c r="K17" i="2"/>
  <c r="J17" i="2"/>
  <c r="I17" i="2"/>
  <c r="H17" i="2"/>
  <c r="G17" i="2"/>
  <c r="F17" i="2"/>
  <c r="E17" i="2"/>
  <c r="D17" i="2"/>
  <c r="C17" i="2"/>
  <c r="N16" i="2"/>
  <c r="M16" i="2"/>
  <c r="L16" i="2"/>
  <c r="K16" i="2"/>
  <c r="J16" i="2"/>
  <c r="I16" i="2"/>
  <c r="H16" i="2"/>
  <c r="G16" i="2"/>
  <c r="F16" i="2"/>
  <c r="E16" i="2"/>
  <c r="D16" i="2"/>
  <c r="C16" i="2"/>
  <c r="N15" i="2"/>
  <c r="M15" i="2"/>
  <c r="L15" i="2"/>
  <c r="K15" i="2"/>
  <c r="J15" i="2"/>
  <c r="I15" i="2"/>
  <c r="H15" i="2"/>
  <c r="G15" i="2"/>
  <c r="F15" i="2"/>
  <c r="E15" i="2"/>
  <c r="D15" i="2"/>
  <c r="C15" i="2"/>
  <c r="N14" i="2"/>
  <c r="M14" i="2"/>
  <c r="L14" i="2"/>
  <c r="K14" i="2"/>
  <c r="J14" i="2"/>
  <c r="I14" i="2"/>
  <c r="H14" i="2"/>
  <c r="G14" i="2"/>
  <c r="F14" i="2"/>
  <c r="E14" i="2"/>
  <c r="D14" i="2"/>
  <c r="C14" i="2"/>
  <c r="N13" i="2"/>
  <c r="M13" i="2"/>
  <c r="L13" i="2"/>
  <c r="K13" i="2"/>
  <c r="J13" i="2"/>
  <c r="I13" i="2"/>
  <c r="H13" i="2"/>
  <c r="G13" i="2"/>
  <c r="F13" i="2"/>
  <c r="E13" i="2"/>
  <c r="D13" i="2"/>
  <c r="C13" i="2"/>
  <c r="N12" i="2"/>
  <c r="M12" i="2"/>
  <c r="L12" i="2"/>
  <c r="K12" i="2"/>
  <c r="J12" i="2"/>
  <c r="I12" i="2"/>
  <c r="H12" i="2"/>
  <c r="G12" i="2"/>
  <c r="F12" i="2"/>
  <c r="E12" i="2"/>
  <c r="D12" i="2"/>
  <c r="C12" i="2"/>
  <c r="N11" i="2"/>
  <c r="M11" i="2"/>
  <c r="L11" i="2"/>
  <c r="K11" i="2"/>
  <c r="J11" i="2"/>
  <c r="I11" i="2"/>
  <c r="H11" i="2"/>
  <c r="G11" i="2"/>
  <c r="F11" i="2"/>
  <c r="E11" i="2"/>
  <c r="D11" i="2"/>
  <c r="C11" i="2"/>
  <c r="N10" i="2"/>
  <c r="M10" i="2"/>
  <c r="L10" i="2"/>
  <c r="K10" i="2"/>
  <c r="J10" i="2"/>
  <c r="I10" i="2"/>
  <c r="H10" i="2"/>
  <c r="G10" i="2"/>
  <c r="F10" i="2"/>
  <c r="E10" i="2"/>
  <c r="D10" i="2"/>
  <c r="C10" i="2"/>
  <c r="N9" i="2"/>
  <c r="M9" i="2"/>
  <c r="L9" i="2"/>
  <c r="K9" i="2"/>
  <c r="J9" i="2"/>
  <c r="I9" i="2"/>
  <c r="H9" i="2"/>
  <c r="G9" i="2"/>
  <c r="F9" i="2"/>
  <c r="E9" i="2"/>
  <c r="D9" i="2"/>
  <c r="C9" i="2"/>
  <c r="N8" i="2"/>
  <c r="M8" i="2"/>
  <c r="L8" i="2"/>
  <c r="K8" i="2"/>
  <c r="J8" i="2"/>
  <c r="I8" i="2"/>
  <c r="H8" i="2"/>
  <c r="G8" i="2"/>
  <c r="F8" i="2"/>
  <c r="E8" i="2"/>
  <c r="D8" i="2"/>
  <c r="C8" i="2"/>
  <c r="N7" i="2"/>
  <c r="M7" i="2"/>
  <c r="L7" i="2"/>
  <c r="K7" i="2"/>
  <c r="J7" i="2"/>
  <c r="I7" i="2"/>
  <c r="H7" i="2"/>
  <c r="G7" i="2"/>
  <c r="F7" i="2"/>
  <c r="E7" i="2"/>
  <c r="D7" i="2"/>
  <c r="C7" i="2"/>
  <c r="N6" i="2"/>
  <c r="M6" i="2"/>
  <c r="L6" i="2"/>
  <c r="K6" i="2"/>
  <c r="J6" i="2"/>
  <c r="I6" i="2"/>
  <c r="H6" i="2"/>
  <c r="G6" i="2"/>
  <c r="F6" i="2"/>
  <c r="E6" i="2"/>
  <c r="D6" i="2"/>
  <c r="C6" i="2"/>
  <c r="N5" i="2"/>
  <c r="M5" i="2"/>
  <c r="L5" i="2"/>
  <c r="K5" i="2"/>
  <c r="J5" i="2"/>
  <c r="I5" i="2"/>
  <c r="H5" i="2"/>
  <c r="G5" i="2"/>
  <c r="F5" i="2"/>
  <c r="E5" i="2"/>
  <c r="D5" i="2"/>
  <c r="C5" i="2"/>
  <c r="N4" i="2"/>
  <c r="M4" i="2"/>
  <c r="L4" i="2"/>
  <c r="K4" i="2"/>
  <c r="J4" i="2"/>
  <c r="I4" i="2"/>
  <c r="H4" i="2"/>
  <c r="G4" i="2"/>
  <c r="F4" i="2"/>
  <c r="E4" i="2"/>
  <c r="D4" i="2"/>
  <c r="D32" i="2" s="1"/>
  <c r="C4" i="2"/>
  <c r="M32" i="2" l="1"/>
  <c r="L32" i="2"/>
  <c r="E32" i="2"/>
  <c r="F32" i="2"/>
  <c r="N32" i="2"/>
  <c r="H32" i="2"/>
  <c r="I32" i="2"/>
  <c r="J32" i="2"/>
  <c r="K32" i="2"/>
  <c r="C32" i="2"/>
  <c r="G32" i="2"/>
</calcChain>
</file>

<file path=xl/sharedStrings.xml><?xml version="1.0" encoding="utf-8"?>
<sst xmlns="http://schemas.openxmlformats.org/spreadsheetml/2006/main" count="6024" uniqueCount="957">
  <si>
    <t>Caboodle — Jira Backlog Organized by Module</t>
  </si>
  <si>
    <t>Purpose</t>
  </si>
  <si>
    <t>225 open tickets (Backlog / In Progress / In Staging / Ready for Production / Reopened) classified into the Caboodle module hierarchy to plan the 3-month sprint ahead of new-client onboarding.</t>
  </si>
  <si>
    <t>How it was built</t>
  </si>
  <si>
    <t>Each ticket was assigned an Area + Caboodle Module by reading its Summary (which references the module), with the original Jira "Module" column used as backup. The [FE]/[BE] tag was parsed from the summary into the FE/BE column for engineer allocation.</t>
  </si>
  <si>
    <t>TABS</t>
  </si>
  <si>
    <t>Module Summary</t>
  </si>
  <si>
    <t>Live count of tickets per module, broken out by status, priority, and FE vs BE. Formula-driven — edits to the Master tab flow through automatically.</t>
  </si>
  <si>
    <t>All Tickets (Master)</t>
  </si>
  <si>
    <t>Every ticket with its assigned Area, Module and FE/BE tag. This is the source of truth; the area tabs and summary read from it.</t>
  </si>
  <si>
    <t>Broker Dashboard / Brand / Reports / Admin / Platform</t>
  </si>
  <si>
    <t>One tab per Area, tickets grouped under their module heading and sorted by priority.</t>
  </si>
  <si>
    <t>NOTES &amp; JUDGMENT CALLS</t>
  </si>
  <si>
    <t>Category Review</t>
  </si>
  <si>
    <t>Appears in two places: under Broker Dashboard (the broker-side review tool) and under Reports as "Category Review Report". Tickets tagged "Reports | Category Review" went to the report; the rest to Broker Dashboard.</t>
  </si>
  <si>
    <t>Trade Spend</t>
  </si>
  <si>
    <t>"Trade Spend Sandbox / TSS / EDLP / Everyday Allowance" → Brand module Trade Spend Sandbox. "Trade Spend Roll Up / Rollup Report" → Reports module Trade Spend Rollup.</t>
  </si>
  <si>
    <t>Platform &amp; Cross-Cutting</t>
  </si>
  <si>
    <t>30 tickets that do not belong to any single module — DB indexing, code refactor, caching, email service, QA/UX audits, big-data upload wizard, Ask Caboodle (AI), Tableau, margin calculator. Worth scoping separately from module work.</t>
  </si>
  <si>
    <t>Two new reports</t>
  </si>
  <si>
    <t>"Banner-to-DC Reporting" is flagged as a new report (not in the current 8-report list).</t>
  </si>
  <si>
    <t>Re-binning</t>
  </si>
  <si>
    <t>Because the Area &amp; Module columns live on every row, you can re-sort or re-classify any ticket and the Module Summary updates instantly.</t>
  </si>
  <si>
    <t>Tickets by Caboodle Module</t>
  </si>
  <si>
    <t>Area</t>
  </si>
  <si>
    <t>Caboodle Module</t>
  </si>
  <si>
    <t>Total</t>
  </si>
  <si>
    <t>Backlog</t>
  </si>
  <si>
    <t>In Progress</t>
  </si>
  <si>
    <t>In Staging</t>
  </si>
  <si>
    <t>Ready for Prod</t>
  </si>
  <si>
    <t>Reopened</t>
  </si>
  <si>
    <t>Highest</t>
  </si>
  <si>
    <t>High</t>
  </si>
  <si>
    <t>Medium</t>
  </si>
  <si>
    <t>Low</t>
  </si>
  <si>
    <t>FE</t>
  </si>
  <si>
    <t>BE</t>
  </si>
  <si>
    <t>Broker Dashboard</t>
  </si>
  <si>
    <t>Market Overview</t>
  </si>
  <si>
    <t>Promotional Management</t>
  </si>
  <si>
    <t>Distributor APL</t>
  </si>
  <si>
    <t>Files</t>
  </si>
  <si>
    <t>Broker Dashboard (General)</t>
  </si>
  <si>
    <t>Brand</t>
  </si>
  <si>
    <t>Product Specs</t>
  </si>
  <si>
    <t>Distributors</t>
  </si>
  <si>
    <t>Retailers</t>
  </si>
  <si>
    <t>Contacts</t>
  </si>
  <si>
    <t>Pipeline</t>
  </si>
  <si>
    <t>Trade Spend Sandbox</t>
  </si>
  <si>
    <t>Promotional Calendar</t>
  </si>
  <si>
    <t>Reports</t>
  </si>
  <si>
    <t>Broker Market Activities</t>
  </si>
  <si>
    <t>Category Review Report</t>
  </si>
  <si>
    <t>Retail Reports</t>
  </si>
  <si>
    <t>Sales Tracker</t>
  </si>
  <si>
    <t>Trade Spend Rollup</t>
  </si>
  <si>
    <t>Monthly Report</t>
  </si>
  <si>
    <t>SPINS</t>
  </si>
  <si>
    <t>Distributor Report</t>
  </si>
  <si>
    <t>Banner-to-DC (New Report)</t>
  </si>
  <si>
    <t>Reports (Unspecified)</t>
  </si>
  <si>
    <t>Admin</t>
  </si>
  <si>
    <t>CRM Data Upload</t>
  </si>
  <si>
    <t>Data Mapping</t>
  </si>
  <si>
    <t>User Management</t>
  </si>
  <si>
    <t>Admin (General)</t>
  </si>
  <si>
    <t>Infrastructure / Cross-Cutting</t>
  </si>
  <si>
    <t>GRAND TOTAL</t>
  </si>
  <si>
    <t>Issue Key</t>
  </si>
  <si>
    <t>Type</t>
  </si>
  <si>
    <t>Summary</t>
  </si>
  <si>
    <t>FE/BE</t>
  </si>
  <si>
    <t>Priority</t>
  </si>
  <si>
    <t>Status</t>
  </si>
  <si>
    <t>Assignee</t>
  </si>
  <si>
    <t>Reporter</t>
  </si>
  <si>
    <t>Created</t>
  </si>
  <si>
    <t>Updated</t>
  </si>
  <si>
    <t>Due / Note</t>
  </si>
  <si>
    <t>CS-1299</t>
  </si>
  <si>
    <t>Broker Dashboard Updates &gt; APL + Add Log Market Overview</t>
  </si>
  <si>
    <t>Unspec</t>
  </si>
  <si>
    <t>Md Mashiul Azam Chowdhury Efti</t>
  </si>
  <si>
    <t>Constance Wolfe</t>
  </si>
  <si>
    <t>3/31/2026</t>
  </si>
  <si>
    <t>5/4/2026</t>
  </si>
  <si>
    <t>CS-1307</t>
  </si>
  <si>
    <t>Home Page Banner Report &gt; Add Scroll option</t>
  </si>
  <si>
    <t>CS-1310</t>
  </si>
  <si>
    <t>Broker Dashboard Market Overview &gt; Store List Not populating</t>
  </si>
  <si>
    <t>Bijoy Chandra Nath</t>
  </si>
  <si>
    <t>CS-1318</t>
  </si>
  <si>
    <t>Broker Dashboard | Market Overview Filter Needs more Field Options List Too Limited</t>
  </si>
  <si>
    <t>4/2/2026</t>
  </si>
  <si>
    <t>CS-1326</t>
  </si>
  <si>
    <t>Enhance Broker Dashboard Market Overview Functionality</t>
  </si>
  <si>
    <t>4/7/2026</t>
  </si>
  <si>
    <t>CS-688</t>
  </si>
  <si>
    <t>Task</t>
  </si>
  <si>
    <t>[BE] Implement read tables for Market Overview</t>
  </si>
  <si>
    <t>2/5/2025</t>
  </si>
  <si>
    <t>9/25/2025</t>
  </si>
  <si>
    <t>Provide update</t>
  </si>
  <si>
    <t>CS-1324</t>
  </si>
  <si>
    <t>Broker Dashboard | Promotional Management Only push Brand Approved Promotions to Promo Management</t>
  </si>
  <si>
    <t>4/3/2026</t>
  </si>
  <si>
    <t>CS-1328</t>
  </si>
  <si>
    <t>Improve Broker Promotional Management Export and Approval Flow</t>
  </si>
  <si>
    <t>CS-1367</t>
  </si>
  <si>
    <t>Broker Dashboard Promo Management | Export Data Does not Match Filter Data</t>
  </si>
  <si>
    <t>5/2/2026</t>
  </si>
  <si>
    <t>CS-234</t>
  </si>
  <si>
    <t>[BE] Promotional Management - Push date submission to brand side</t>
  </si>
  <si>
    <t>Md Mashiul Azam Chowdhury</t>
  </si>
  <si>
    <t>12/21/2023</t>
  </si>
  <si>
    <t>Discuss</t>
  </si>
  <si>
    <t>CS-232</t>
  </si>
  <si>
    <t>[BE] Promotional Management - Published distributor pricing for Promo Submissions</t>
  </si>
  <si>
    <t>CS-1417</t>
  </si>
  <si>
    <t>Broker Dashboard | Category Review Filter &amp; Upload Issues</t>
  </si>
  <si>
    <t>5/30/2026</t>
  </si>
  <si>
    <t>6/4/2026</t>
  </si>
  <si>
    <t>CS-1296</t>
  </si>
  <si>
    <t>Broker Dashboard | Category Review Calendar Rollup</t>
  </si>
  <si>
    <t>5/28/2026</t>
  </si>
  <si>
    <t>CS-1315</t>
  </si>
  <si>
    <t>Category Review | Export All Data only Exports the current Page</t>
  </si>
  <si>
    <t>5/5/2026</t>
  </si>
  <si>
    <t>CS-1316</t>
  </si>
  <si>
    <t>Category Review | Implement Scrolling vs pages</t>
  </si>
  <si>
    <t>CS-1317</t>
  </si>
  <si>
    <t>Category Review | UI/UX Consider more modern look/feel See sample</t>
  </si>
  <si>
    <t>CS-1319</t>
  </si>
  <si>
    <t>Category Review | Adding Retailers with multiple Reviews Produces Duplicates of the Retailer in the Filter (Also see CS-1320)</t>
  </si>
  <si>
    <t>CS-1320</t>
  </si>
  <si>
    <t>Category Review | Add Log Error Invalid Month Even though the month is Valid</t>
  </si>
  <si>
    <t>5/18/2026</t>
  </si>
  <si>
    <t>CS-1329</t>
  </si>
  <si>
    <t>Fix Category Review Data Isolation and Upload Issues</t>
  </si>
  <si>
    <t>CS-1330</t>
  </si>
  <si>
    <t>Improve Category Review UX, Navigation and Export</t>
  </si>
  <si>
    <t>CS-1361</t>
  </si>
  <si>
    <t>Broker Dashboard | New Category Review Functionality</t>
  </si>
  <si>
    <t>4/29/2026</t>
  </si>
  <si>
    <t>6/17/2026</t>
  </si>
  <si>
    <t>CS-1423</t>
  </si>
  <si>
    <t>Broker Dashboard | Category Review Propagation</t>
  </si>
  <si>
    <t>6/20/2026</t>
  </si>
  <si>
    <t>6/21/2026</t>
  </si>
  <si>
    <t>CS-1424</t>
  </si>
  <si>
    <t>Data Mapping | Broker Dashboard APL | Need Data Sync for Broker Distributor APL</t>
  </si>
  <si>
    <t>6/23/2026</t>
  </si>
  <si>
    <t>CS-1363</t>
  </si>
  <si>
    <t>Broker Dashboard | APL Add Distributor to the Filter</t>
  </si>
  <si>
    <t>CS-1403</t>
  </si>
  <si>
    <t>Broker Dashboard | APL Upload Adjust for UNFI UPC Codes</t>
  </si>
  <si>
    <t>5/13/2026</t>
  </si>
  <si>
    <t>CS-1408</t>
  </si>
  <si>
    <t>Broker Dashboard &gt; APL Report &gt; Filter showing multiple listings for same item</t>
  </si>
  <si>
    <t>5/20/2026</t>
  </si>
  <si>
    <t>CS-1159</t>
  </si>
  <si>
    <t>Bug</t>
  </si>
  <si>
    <t>Folders | Download causing Errors</t>
  </si>
  <si>
    <t>9/8/2025</t>
  </si>
  <si>
    <t>11/10/2025</t>
  </si>
  <si>
    <t>See Ticket 1179</t>
  </si>
  <si>
    <t>CS-1179</t>
  </si>
  <si>
    <t>Files | Downloads still have errors see details</t>
  </si>
  <si>
    <t>9/26/2025</t>
  </si>
  <si>
    <t>Q1</t>
  </si>
  <si>
    <t>CS-658</t>
  </si>
  <si>
    <t>Files | Files Tree Display issues See image of overlapping folders</t>
  </si>
  <si>
    <t>12/6/2024</t>
  </si>
  <si>
    <t>4/27/2025</t>
  </si>
  <si>
    <t>??</t>
  </si>
  <si>
    <t>CS-1072</t>
  </si>
  <si>
    <t>[BE] Broker Dashboard&gt; Update landing page to match Brand environments. Replace dashboard with Broker Logo</t>
  </si>
  <si>
    <t>7/15/2025</t>
  </si>
  <si>
    <t>11/6/2025</t>
  </si>
  <si>
    <t>Q2/Q3</t>
  </si>
  <si>
    <t>CS-1305</t>
  </si>
  <si>
    <t>Broker Dashboard Update UI to match the rest of the platform</t>
  </si>
  <si>
    <t>CS-1327</t>
  </si>
  <si>
    <t>Fix Broker Dashboard Navigation and UI Issues</t>
  </si>
  <si>
    <t>CS-1065</t>
  </si>
  <si>
    <t>if sub brand ID is deactivated by admin, logged-in user can still access system</t>
  </si>
  <si>
    <t>Fariha Jabin</t>
  </si>
  <si>
    <t>7/9/2025</t>
  </si>
  <si>
    <t>Q3</t>
  </si>
  <si>
    <t>CS-478</t>
  </si>
  <si>
    <t>Product Specs Price List | Price Change is not flowing thru Trade Spend for promos after date change</t>
  </si>
  <si>
    <t>4/25/2024</t>
  </si>
  <si>
    <t>7/9/2024</t>
  </si>
  <si>
    <t>CS-1077</t>
  </si>
  <si>
    <t>Product Specs Add Product Change Order &amp; Names of Fields</t>
  </si>
  <si>
    <t>7/22/2025</t>
  </si>
  <si>
    <t>Q2</t>
  </si>
  <si>
    <t>CS-1386</t>
  </si>
  <si>
    <t>Product Specs | Reorganize Tabs to this order: Categories &gt; Products &gt; Pricing</t>
  </si>
  <si>
    <t>5/11/2026</t>
  </si>
  <si>
    <t>CS-1400</t>
  </si>
  <si>
    <t>Product Specs | Updating Spec UPC Code causing Error</t>
  </si>
  <si>
    <t>CS-617</t>
  </si>
  <si>
    <t>Sub-task</t>
  </si>
  <si>
    <t>[BE] Manufacture Discontinue | MFR Disco Status</t>
  </si>
  <si>
    <t>9/26/2024</t>
  </si>
  <si>
    <t>1/7/2025</t>
  </si>
  <si>
    <t>CS-280</t>
  </si>
  <si>
    <t>[BE] Product Specs Add a text box for Shelf Life and another for Attributes.  Doesn't need to be in the file upload</t>
  </si>
  <si>
    <t>1/1/2024</t>
  </si>
  <si>
    <t>Don't Do</t>
  </si>
  <si>
    <t>CS-376</t>
  </si>
  <si>
    <t>Product Specs - Add Chck Box for Manufacturer Discontinued</t>
  </si>
  <si>
    <t>2/10/2024</t>
  </si>
  <si>
    <t>Complete?</t>
  </si>
  <si>
    <t>CS-1112</t>
  </si>
  <si>
    <t>product category change causes pricing to show "pricing not set"</t>
  </si>
  <si>
    <t>8/14/2025</t>
  </si>
  <si>
    <t>CS-1225</t>
  </si>
  <si>
    <t>CRM &gt; Distributor &gt; Unlink Banner &gt; Remove restriction that it's tied up in a Promotion</t>
  </si>
  <si>
    <t>11/8/2025</t>
  </si>
  <si>
    <t>11/11/2025</t>
  </si>
  <si>
    <t>Provide Update</t>
  </si>
  <si>
    <t>CS-1211</t>
  </si>
  <si>
    <t>[BE] CRM - Retailers&gt; Newest Dates at the top of the list</t>
  </si>
  <si>
    <t>11/4/2025</t>
  </si>
  <si>
    <t>11/5/2025</t>
  </si>
  <si>
    <t>CS-1199</t>
  </si>
  <si>
    <t>CRM&gt; Retailers&gt;Promo $Rules&gt; Upload option doesn't work&gt; Other Notes in Description</t>
  </si>
  <si>
    <t>10/23/2025</t>
  </si>
  <si>
    <t>CS-992</t>
  </si>
  <si>
    <t>[BE] Retailer details page - Category search returning irrelevant results</t>
  </si>
  <si>
    <t>6/4/2025</t>
  </si>
  <si>
    <t>CS-1369</t>
  </si>
  <si>
    <t>CRM Contacts | Include title with the name</t>
  </si>
  <si>
    <t>CS-1118</t>
  </si>
  <si>
    <t>CRM&gt;Pipeline&gt;Back Button Issue</t>
  </si>
  <si>
    <t>8/19/2025</t>
  </si>
  <si>
    <t>CS-1348</t>
  </si>
  <si>
    <t>CRM | Pipeline - Formatting Issue - Items cut off</t>
  </si>
  <si>
    <t>4/21/2026</t>
  </si>
  <si>
    <t>CS-1349</t>
  </si>
  <si>
    <t>CRM Pipeline | Enhance Editing Widget</t>
  </si>
  <si>
    <t>CS-1150</t>
  </si>
  <si>
    <t>CRM | Pipeline - Need Undo option in task edit</t>
  </si>
  <si>
    <t>8/29/2025</t>
  </si>
  <si>
    <t>CS-1059</t>
  </si>
  <si>
    <t>crm module  delete option missing in all modules except banner</t>
  </si>
  <si>
    <t>7/7/2025</t>
  </si>
  <si>
    <t>CS-1209</t>
  </si>
  <si>
    <t>TSS&gt; Add A Sku to Existing Issues</t>
  </si>
  <si>
    <t>11/1/2025</t>
  </si>
  <si>
    <t>12/22/2025</t>
  </si>
  <si>
    <t>CS-1212</t>
  </si>
  <si>
    <t>TSS&gt; Add EDLP to Existing Promotion &gt; 2nd Pop Up Box only displays 1 Product</t>
  </si>
  <si>
    <t>Ready for Production</t>
  </si>
  <si>
    <t>CS-1240</t>
  </si>
  <si>
    <t>Trade Spend Calculations</t>
  </si>
  <si>
    <t>12/11/2025</t>
  </si>
  <si>
    <t>CS-1254</t>
  </si>
  <si>
    <t>[BE] Trade Spend Sandbox - New &amp; Discontinued Items Not Calculating according to Add &amp; Disco. Date</t>
  </si>
  <si>
    <t>1/9/2026</t>
  </si>
  <si>
    <t>1/20/2026</t>
  </si>
  <si>
    <t>CS-725</t>
  </si>
  <si>
    <t>Story</t>
  </si>
  <si>
    <t>Trade Spend Promotion Module</t>
  </si>
  <si>
    <t>3/12/2025</t>
  </si>
  <si>
    <t>CS-1022</t>
  </si>
  <si>
    <t>Trade Spend Sandbox | Step 2 Category Issues</t>
  </si>
  <si>
    <t>6/21/2025</t>
  </si>
  <si>
    <t>CS-1090</t>
  </si>
  <si>
    <t>Editing and Pushing from Trade spend sandbox will update corresponding Promo Planning</t>
  </si>
  <si>
    <t>8/6/2025</t>
  </si>
  <si>
    <t>CS-1092</t>
  </si>
  <si>
    <t>[FE] Editing and Pushing from Trade spend sandbox will update corresponding Promo Planning</t>
  </si>
  <si>
    <t>Fixed?</t>
  </si>
  <si>
    <t>CS-1095</t>
  </si>
  <si>
    <t>[FE] Slight Glitch after editing a promo event</t>
  </si>
  <si>
    <t>8/8/2025</t>
  </si>
  <si>
    <t>10/20/2025</t>
  </si>
  <si>
    <t>CS-1174</t>
  </si>
  <si>
    <t>Trade Spend | Sandbox and Approved Have back button from results page take user to same year</t>
  </si>
  <si>
    <t>9/20/2025</t>
  </si>
  <si>
    <t>CS-1177</t>
  </si>
  <si>
    <t>The "Everyday Allowance" field does not retain entered data when navigating back from later steps.</t>
  </si>
  <si>
    <t>9/22/2025</t>
  </si>
  <si>
    <t>11/18/2025</t>
  </si>
  <si>
    <t>CS-1185</t>
  </si>
  <si>
    <t>TSS | Create an EDLP Promotion Only Creates Error</t>
  </si>
  <si>
    <t>10/1/2025</t>
  </si>
  <si>
    <t>CS-1186</t>
  </si>
  <si>
    <t>TSS | Duplicating a Promotion Issue- Comments are not included in the copy</t>
  </si>
  <si>
    <t>10/2/2025</t>
  </si>
  <si>
    <t>CS-1187</t>
  </si>
  <si>
    <t>Trade Spend Sandbox | Ad Fees Step 4 Issue| If multiple events are selected the Ad Fee is split among all items in all events</t>
  </si>
  <si>
    <t>10/4/2025</t>
  </si>
  <si>
    <t>CS-1192</t>
  </si>
  <si>
    <t>bugs relates to EDLP</t>
  </si>
  <si>
    <t>11/17/2025</t>
  </si>
  <si>
    <t>CS-1193</t>
  </si>
  <si>
    <t>TSS&gt;Step 4&gt; Multiple Edit Divide Ad Fees by Product for Each Event Separately</t>
  </si>
  <si>
    <t>CS-1236</t>
  </si>
  <si>
    <t>TSS- New bugs</t>
  </si>
  <si>
    <t>11/27/2025</t>
  </si>
  <si>
    <t>12/9/2025</t>
  </si>
  <si>
    <t>CS-1244</t>
  </si>
  <si>
    <t>TSS Details Page: Pricing, Allowance, Total Spend, Alert UI, and TPR Fee Calculation Issues</t>
  </si>
  <si>
    <t>12/24/2025</t>
  </si>
  <si>
    <t>CS-1248</t>
  </si>
  <si>
    <t>TSS&gt; Add Ad Fees/TPR Fees (Lump Sum) that's not associated with any promotion</t>
  </si>
  <si>
    <t>12/29/2025</t>
  </si>
  <si>
    <t>CS-1258</t>
  </si>
  <si>
    <t>TSS  View &amp; Edit Promo: Multiple clicks on date edit cause application error</t>
  </si>
  <si>
    <t>1/21/2026</t>
  </si>
  <si>
    <t>CS-1259</t>
  </si>
  <si>
    <t>TSS &gt; Change Message for pushing a promotion to Approved &gt; Currently says push to trade spend</t>
  </si>
  <si>
    <t>CS-1273</t>
  </si>
  <si>
    <t>TSS&gt; View &amp; Edit Promo Events Details &gt; If product status changes in Retail CRM &gt; Should the date in the Event Details Reflect the date. See decription</t>
  </si>
  <si>
    <t>3/26/2026</t>
  </si>
  <si>
    <t>4/23/2026</t>
  </si>
  <si>
    <t>CS-1353</t>
  </si>
  <si>
    <t>TSS | Add 3 new Columns to Event Summary</t>
  </si>
  <si>
    <t>4/24/2026</t>
  </si>
  <si>
    <t>4/28/2026</t>
  </si>
  <si>
    <t>CS-1413</t>
  </si>
  <si>
    <t>TSS | Promotion Fee Value Column show 0 Value if not Filtered</t>
  </si>
  <si>
    <t>5/23/2026</t>
  </si>
  <si>
    <t>CS-1414</t>
  </si>
  <si>
    <t>TSS Promo Fee | Needs a Edit Option</t>
  </si>
  <si>
    <t>CS-653</t>
  </si>
  <si>
    <t>Caboodle Broker | Trade Spend Sandbox should report to Promotional Management (not Promo Planning)</t>
  </si>
  <si>
    <t>11/26/2024</t>
  </si>
  <si>
    <t>CS-1196</t>
  </si>
  <si>
    <t>TSS&gt;Add Coupon Option&gt;</t>
  </si>
  <si>
    <t>10/21/2025</t>
  </si>
  <si>
    <t>CS-1197</t>
  </si>
  <si>
    <t>TSS&gt; Add Sku to existing event &gt; Allow user to choose multiple events</t>
  </si>
  <si>
    <t>10/22/2025</t>
  </si>
  <si>
    <t>10/27/2025</t>
  </si>
  <si>
    <t>CS-1201</t>
  </si>
  <si>
    <t>Fix filter so User only see the Retailers they manage, the TSS &amp; BAP Promotions they create and the Promotions on the Calendar</t>
  </si>
  <si>
    <t>CS-1351</t>
  </si>
  <si>
    <t>TSS | Can Brands or Admin Adjust the Budget Threshold that turns the graph red if a Trade Spend % is Above 15%</t>
  </si>
  <si>
    <t>4/22/2026</t>
  </si>
  <si>
    <t>CS-1354</t>
  </si>
  <si>
    <t>TSS | Discussion for providing Actual Lift (Placeholder Ticket)</t>
  </si>
  <si>
    <t>CS-1132</t>
  </si>
  <si>
    <t>When clicking the Add New Event button, the modal shows a visual glitch.</t>
  </si>
  <si>
    <t>8/25/2025</t>
  </si>
  <si>
    <t>CS-1178</t>
  </si>
  <si>
    <t>EDLP events look the same as other events; there should be a different color, tag, or indicator to easily identify EDLP events.</t>
  </si>
  <si>
    <t>CS-1372</t>
  </si>
  <si>
    <t>TSS - Everyday Allowance Field Displays 0 Despite Having Value</t>
  </si>
  <si>
    <t>CS-1381</t>
  </si>
  <si>
    <t>TSS: Stores Field Accepts Negative Values in Add SKU Modal</t>
  </si>
  <si>
    <t>CS-1382</t>
  </si>
  <si>
    <t>TSS ? Promotion Fees ?  Products from Other Banners Are Displayed in Add Promotion Fee Modal</t>
  </si>
  <si>
    <t>CS-532</t>
  </si>
  <si>
    <t>Trade Spend | Promo Event Details | Is it possible to add a sku without going thru the stepper again?</t>
  </si>
  <si>
    <t>5/28/2024</t>
  </si>
  <si>
    <t>CS-1202</t>
  </si>
  <si>
    <t>Promotional Calendar: If Event stretches across more than 1 month, show it on all months that are included</t>
  </si>
  <si>
    <t>Q1 or Q2</t>
  </si>
  <si>
    <t>CS-1203</t>
  </si>
  <si>
    <t>Reports&gt;Broker Market Activity Report throws Error</t>
  </si>
  <si>
    <t>10/28/2025</t>
  </si>
  <si>
    <t>CS-1149</t>
  </si>
  <si>
    <t>Reports | Category Review Uploads &amp; Data Pushes</t>
  </si>
  <si>
    <t>CR Needs Discussion</t>
  </si>
  <si>
    <t>CS-1291</t>
  </si>
  <si>
    <t>Reports | Category Review when Reviews are uploaded in Brand Environment It's pushing to all Brands</t>
  </si>
  <si>
    <t>CS-1204</t>
  </si>
  <si>
    <t>Reports &gt; Retail Report Activities Filter Doesn't Work</t>
  </si>
  <si>
    <t>CS-1162</t>
  </si>
  <si>
    <t>[FE] Store Insight whole report delete by filter</t>
  </si>
  <si>
    <t>9/10/2025</t>
  </si>
  <si>
    <t>CS-1297</t>
  </si>
  <si>
    <t>New Report | Retail Portal Data Upload</t>
  </si>
  <si>
    <t>CS-1347</t>
  </si>
  <si>
    <t>Banner List Not Sorted in Ascending Order in Retail Report &gt; Products</t>
  </si>
  <si>
    <t>Taslima Akbar Keya</t>
  </si>
  <si>
    <t>CS-1306</t>
  </si>
  <si>
    <t>Report | Sales Tracking for Prospects</t>
  </si>
  <si>
    <t>CS-1190</t>
  </si>
  <si>
    <t>Trade Spend Roll Up Report | Add Column for Total Trade Spend that Adds the TPR Spend w/ Ad/TPR Fees</t>
  </si>
  <si>
    <t>10/11/2025</t>
  </si>
  <si>
    <t>CS-1339</t>
  </si>
  <si>
    <t>Enhance Trade Spend Rollup Report with Hyperlinks and Spend Totals</t>
  </si>
  <si>
    <t>CS-1375</t>
  </si>
  <si>
    <t>[BE] Trade Spend Roll Up Report | Add Column for Total Trade Spend that Adds the TPR Spend w/ Ad/TPR Fees</t>
  </si>
  <si>
    <t>CS-1230</t>
  </si>
  <si>
    <t>Reports&gt;Trade Spend Roll Up &gt; Updates on Headers (Net to Gross) + other Minor Changes</t>
  </si>
  <si>
    <t>Still some items to complete</t>
  </si>
  <si>
    <t>CS-1246</t>
  </si>
  <si>
    <t>[BE] Add Gross Unit Calculation in Roll up report</t>
  </si>
  <si>
    <t>CS-1335</t>
  </si>
  <si>
    <t>Fix Monthly Report Calculations and Data Refresh Issues</t>
  </si>
  <si>
    <t>CS-1336</t>
  </si>
  <si>
    <t>Improve Monthly Report Layout, Filtering and Navigation</t>
  </si>
  <si>
    <t>5/12/2026</t>
  </si>
  <si>
    <t>CS-1283</t>
  </si>
  <si>
    <t>Monthly Report | Importing Actuals (Manually and Automated)</t>
  </si>
  <si>
    <t>5/21/2026</t>
  </si>
  <si>
    <t>CS-1285</t>
  </si>
  <si>
    <t>Monthly Report | Need Category in Filter w/ Dependancy for Products</t>
  </si>
  <si>
    <t>CS-1352</t>
  </si>
  <si>
    <t>Monthly Report | YOY Report Needs Date Selection Option</t>
  </si>
  <si>
    <t>CS-1388</t>
  </si>
  <si>
    <t>Monthly Report | Add Month to Filter</t>
  </si>
  <si>
    <t>5/14/2026</t>
  </si>
  <si>
    <t>CS-1405</t>
  </si>
  <si>
    <t>[BE] Monthly Report | Add Month to Filter</t>
  </si>
  <si>
    <t>CS-1223</t>
  </si>
  <si>
    <t>Remove legacy SPINS data  keep only filtered, relevant datasets.</t>
  </si>
  <si>
    <t>CS-1293</t>
  </si>
  <si>
    <t>Reports | SPINS SPINS &gt; Prep system to accept all measures</t>
  </si>
  <si>
    <t>CS-1294</t>
  </si>
  <si>
    <t>Report SPINS Updates</t>
  </si>
  <si>
    <t>CS-1333</t>
  </si>
  <si>
    <t>Fix Distributor Report Calculations and Data Consistency</t>
  </si>
  <si>
    <t>5/16/2026</t>
  </si>
  <si>
    <t>CS-1421</t>
  </si>
  <si>
    <t>Distributor Report | Velocity Calculations Need Review</t>
  </si>
  <si>
    <t>CS-1422</t>
  </si>
  <si>
    <t>Product Specs &amp; Distributor Report KEHE Master Pack Issue</t>
  </si>
  <si>
    <t>CS-1222</t>
  </si>
  <si>
    <t>Build and validate the Single Distributor Report.</t>
  </si>
  <si>
    <t>CS-1256</t>
  </si>
  <si>
    <t>New Filter For Distributor Report</t>
  </si>
  <si>
    <t>1/10/2026</t>
  </si>
  <si>
    <t>CS-1275</t>
  </si>
  <si>
    <t>Distributor Report | UNFI Continue testing the crawler service to ensure it can handle website changes</t>
  </si>
  <si>
    <t>CS-1278</t>
  </si>
  <si>
    <t>Distributor Report | Should we be able to do manual uploads?</t>
  </si>
  <si>
    <t>CS-1279</t>
  </si>
  <si>
    <t>Distributor Report Discussion | Auto Update Retailer CRM Item Status (From NA/Pending) to Active</t>
  </si>
  <si>
    <t>CS-1281</t>
  </si>
  <si>
    <t>Distributor Report | Auto Flags for New and Disco Items/Retailers</t>
  </si>
  <si>
    <t>CS-1286</t>
  </si>
  <si>
    <t>Distributor Report | Reorganize Filter</t>
  </si>
  <si>
    <t>5/7/2026</t>
  </si>
  <si>
    <t>CS-1312</t>
  </si>
  <si>
    <t>Distributor Report | Adjust UNFI Sales Dollars Calculations to match Distributor MOD pricing in Caboodle</t>
  </si>
  <si>
    <t>CS-1334</t>
  </si>
  <si>
    <t>Improve Distributor Report Filtering, Naming and Export</t>
  </si>
  <si>
    <t>CS-1387</t>
  </si>
  <si>
    <t>Admin | Data Sync Not working &gt; Not Populating Distributor Report</t>
  </si>
  <si>
    <t>CS-1402</t>
  </si>
  <si>
    <t>[FE] Distributor Sales Report | Import functionality</t>
  </si>
  <si>
    <t>CS-1276</t>
  </si>
  <si>
    <t>Current UNFI &amp; KeHE Reports &gt; Determine if we should use them generically</t>
  </si>
  <si>
    <t>CS-1407</t>
  </si>
  <si>
    <t>Distributor Report | Update DC Cases Sold Report CSV File Name</t>
  </si>
  <si>
    <t>CS-1295</t>
  </si>
  <si>
    <t>New Report | Banner to DC Reporting</t>
  </si>
  <si>
    <t>CS-1032</t>
  </si>
  <si>
    <t>[BE] Reports &gt; Promoted Case Allowance -Please start</t>
  </si>
  <si>
    <t>7/1/2025</t>
  </si>
  <si>
    <t>CS-1308</t>
  </si>
  <si>
    <t>Admin &gt;CRM Data Upload &gt; Stores &gt; Edit Store Name failure</t>
  </si>
  <si>
    <t>CS-1309</t>
  </si>
  <si>
    <t>Admin CRM Data Upload&gt;Stores &gt; Can we add Delete Button</t>
  </si>
  <si>
    <t>CS-1342</t>
  </si>
  <si>
    <t>Admin | CRM Data Upload &gt; Stores Upload Issue</t>
  </si>
  <si>
    <t>4/10/2026</t>
  </si>
  <si>
    <t>CS-1384</t>
  </si>
  <si>
    <t>Admin Banner Sku Upload Failed Records | Please Review errors: The provided banner name doesn't match any existing Caboodle System banners</t>
  </si>
  <si>
    <t>CS-1419</t>
  </si>
  <si>
    <t>Admin CRM Data Upload Stores | Remove Duplicates &amp; Resolve Multi-Mapping</t>
  </si>
  <si>
    <t>6/5/2026</t>
  </si>
  <si>
    <t>CS-496</t>
  </si>
  <si>
    <t>Banner Upload Error Messaging</t>
  </si>
  <si>
    <t>5/2/2024</t>
  </si>
  <si>
    <t>CS-1364</t>
  </si>
  <si>
    <t>CRM Data Upload | Error Occurs When Updating Store from Stores Section</t>
  </si>
  <si>
    <t>4/30/2026</t>
  </si>
  <si>
    <t>CS-1037</t>
  </si>
  <si>
    <t>[BE] No error message when uploading a blank file</t>
  </si>
  <si>
    <t>CS-1042</t>
  </si>
  <si>
    <t>banner edit modal   sometimes retailer name shows retailer id</t>
  </si>
  <si>
    <t>CS-1292</t>
  </si>
  <si>
    <t>Data Uploads | Implement Dynamic Data Uploads to support formats that don't match templates (Import Wizard)</t>
  </si>
  <si>
    <t>CS-1365</t>
  </si>
  <si>
    <t>CRM Data Upload | Regions List UI Not Properly Formatted in Retailers Section</t>
  </si>
  <si>
    <t>CS-1266</t>
  </si>
  <si>
    <t>[BE] Data Mapping &gt; Unmapped Filter Needs Options for all Properties</t>
  </si>
  <si>
    <t>3/24/2026</t>
  </si>
  <si>
    <t>5/24/2026</t>
  </si>
  <si>
    <t>CS-1268</t>
  </si>
  <si>
    <t>[BE] Data Mapping &gt; Allow user to change status (any) in unmapped data</t>
  </si>
  <si>
    <t>CS-1331</t>
  </si>
  <si>
    <t>Enhance Data Mapping Module Usability and Filtering</t>
  </si>
  <si>
    <t>CS-1415</t>
  </si>
  <si>
    <t>Data Mapping | Unmapped Store List</t>
  </si>
  <si>
    <t>5/26/2026</t>
  </si>
  <si>
    <t>6/1/2026</t>
  </si>
  <si>
    <t>CS-1416</t>
  </si>
  <si>
    <t>Data Mapping Filter Issue</t>
  </si>
  <si>
    <t>5/27/2026</t>
  </si>
  <si>
    <t>CS-1214</t>
  </si>
  <si>
    <t>Implement and test Crisp integration Or Data Scrapping (API connection, data sync).</t>
  </si>
  <si>
    <t>11/24/2025</t>
  </si>
  <si>
    <t>CS-1216</t>
  </si>
  <si>
    <t>Data Mapping Expansion  Phase 2</t>
  </si>
  <si>
    <t>12/1/2025</t>
  </si>
  <si>
    <t>CS-1219</t>
  </si>
  <si>
    <t>Integrate with the Data Mapping module to ensure mapped fields align during import/export.</t>
  </si>
  <si>
    <t>CS-1343</t>
  </si>
  <si>
    <t>[BE] Data Mapping | Re-Resolve Not Working</t>
  </si>
  <si>
    <t>CS-1389</t>
  </si>
  <si>
    <t>Data Mapping | Remove old Brand Data</t>
  </si>
  <si>
    <t>CS-1390</t>
  </si>
  <si>
    <t>Admin | Data Mapping | New Bot Implementation for Broker Brands</t>
  </si>
  <si>
    <t>CS-1391</t>
  </si>
  <si>
    <t>Data Mapping | Banner Sku Upload</t>
  </si>
  <si>
    <t>CS-1418</t>
  </si>
  <si>
    <t>Data Mapping/CRM Data Upload | Stores Add A Store Field list is missing State</t>
  </si>
  <si>
    <t>CS-487</t>
  </si>
  <si>
    <t>[BE] Saving Banner SKU Failed Records and automatically adding them back into the system once we've matched up the unrecognized banners from the Data Mapping section</t>
  </si>
  <si>
    <t>4/29/2024</t>
  </si>
  <si>
    <t>CS-1366</t>
  </si>
  <si>
    <t>Data Mapping | Mapping Status Not Immediately Updated Across Pagination in Unmapped Records</t>
  </si>
  <si>
    <t>CS-1409</t>
  </si>
  <si>
    <t>[BE] Data Mapping | Allow user to cancel the exportation of Unmapped Records</t>
  </si>
  <si>
    <t>CS-1410</t>
  </si>
  <si>
    <t>[FE] Data Mapping | Unmapped Filter: Ordered the hierarchy of the filters based on the entity, mapping status</t>
  </si>
  <si>
    <t>CS-1411</t>
  </si>
  <si>
    <t>[FE] Data Mapping | Filter : Refresh page removes the filter</t>
  </si>
  <si>
    <t>CS-1412</t>
  </si>
  <si>
    <t>Data Mapping | Add export and filter related some new feature</t>
  </si>
  <si>
    <t>5/25/2026</t>
  </si>
  <si>
    <t>CS-1325</t>
  </si>
  <si>
    <t>Improve Broker Invitation and Brand Environment Setup</t>
  </si>
  <si>
    <t>CS-1379</t>
  </si>
  <si>
    <t>User Managemnet | Invitation Registration Link Redirects Logged-In Users to Login Page Instead of Signup Page</t>
  </si>
  <si>
    <t>5/10/2026</t>
  </si>
  <si>
    <t>CS-1290</t>
  </si>
  <si>
    <t>ADMIN | Invite Broker &gt; The Email Said it was inviting user as Sub Broker instead of Broker</t>
  </si>
  <si>
    <t>CS-1370</t>
  </si>
  <si>
    <t>User Management | First Name Column Overlaps with Role Column on Window Resize (?80%) in User Management</t>
  </si>
  <si>
    <t>5/3/2026</t>
  </si>
  <si>
    <t>CS-1377</t>
  </si>
  <si>
    <t>User Managemnet | Resend Invitation Button Does Not Send New Invitation Email</t>
  </si>
  <si>
    <t>CS-1378</t>
  </si>
  <si>
    <t>User Managemnet | Prevent Multiple Pending Invitations for the Same Brand Owner Role</t>
  </si>
  <si>
    <t>CS-1392</t>
  </si>
  <si>
    <t>User Management | User Enrollment</t>
  </si>
  <si>
    <t>CS-562</t>
  </si>
  <si>
    <t>[BE] Implement User-Based Permission Control Module</t>
  </si>
  <si>
    <t>6/24/2024</t>
  </si>
  <si>
    <t>CS-1078</t>
  </si>
  <si>
    <t>Invite User - role - brand - Select All checkbox behaves incorrectly</t>
  </si>
  <si>
    <t>CS-1376</t>
  </si>
  <si>
    <t>User Managemnet | Show Proper Error Message for Cancelled Invitation Signup Attempt</t>
  </si>
  <si>
    <t>CS-1393</t>
  </si>
  <si>
    <t>User Management | Invited Users List Showing Unknown as User Type</t>
  </si>
  <si>
    <t>CS-1394</t>
  </si>
  <si>
    <t>User Management | Broker Invitation Email Sent as Sub-Broker Causing Invitation Acceptance Failure</t>
  </si>
  <si>
    <t>CS-1395</t>
  </si>
  <si>
    <t>User Managemnet | Phone Number Field Accepts Invalid Input Without Validation</t>
  </si>
  <si>
    <t>CS-1396</t>
  </si>
  <si>
    <t>User Managemnet | View Brand Info Label is Misleading as Users Can Also Add Brands</t>
  </si>
  <si>
    <t>CS-1397</t>
  </si>
  <si>
    <t>User Managemnet | Brand Assignment Modal Flow is Confusing for Reassigning Brands</t>
  </si>
  <si>
    <t>CS-1398</t>
  </si>
  <si>
    <t>User Managemnet | No Role Removal Option Available in Assign Role Modal for Already Assigned Users</t>
  </si>
  <si>
    <t>CS-1399</t>
  </si>
  <si>
    <t>User Managemnet | Incorrect Filter Columns Displayed in Invited Users Section</t>
  </si>
  <si>
    <t>CS-1038</t>
  </si>
  <si>
    <t>[BE] Template files dont show required/mandatory fields</t>
  </si>
  <si>
    <t>CS-1368</t>
  </si>
  <si>
    <t>Admin | Caboodle Admin needs to access all Environments w/o the need for their login credentials</t>
  </si>
  <si>
    <t>CS-675</t>
  </si>
  <si>
    <t>Empowering Brand owner's edit in Banner SKU section</t>
  </si>
  <si>
    <t>12/26/2024</t>
  </si>
  <si>
    <t>CS-1039</t>
  </si>
  <si>
    <t>[BE] Field mismatch between manual form and upload template</t>
  </si>
  <si>
    <t>CS-1356</t>
  </si>
  <si>
    <t>[Admin] If current Session is over then User should automatically be logged out</t>
  </si>
  <si>
    <t>4/27/2026</t>
  </si>
  <si>
    <t>CS-146</t>
  </si>
  <si>
    <t>[BE] Module on off</t>
  </si>
  <si>
    <t>12/3/2023</t>
  </si>
  <si>
    <t>CS-147</t>
  </si>
  <si>
    <t>[FE] Module on off</t>
  </si>
  <si>
    <t>CS-1035</t>
  </si>
  <si>
    <t>Epic</t>
  </si>
  <si>
    <t>Admin bug tickets</t>
  </si>
  <si>
    <t>7/14/2025</t>
  </si>
  <si>
    <t>CS-1045</t>
  </si>
  <si>
    <t>brand name should be unique</t>
  </si>
  <si>
    <t>7/2/2025</t>
  </si>
  <si>
    <t>CS-1046</t>
  </si>
  <si>
    <t>brand description not  fully visible if too long</t>
  </si>
  <si>
    <t>CS-1047</t>
  </si>
  <si>
    <t>blank file upload shows unclear error</t>
  </si>
  <si>
    <t>CS-1048</t>
  </si>
  <si>
    <t>brand upload template includes extra column</t>
  </si>
  <si>
    <t>CS-1049</t>
  </si>
  <si>
    <t>brand owner  email search filter not working</t>
  </si>
  <si>
    <t>CS-1050</t>
  </si>
  <si>
    <t>brand  export is not working</t>
  </si>
  <si>
    <t>CS-1062</t>
  </si>
  <si>
    <t>banner profile page: if name field empty, try to save, cant save, no error message shown</t>
  </si>
  <si>
    <t>CS-1063</t>
  </si>
  <si>
    <t>banner profile page: change password is not working</t>
  </si>
  <si>
    <t>CS-1064</t>
  </si>
  <si>
    <t>login: if password is less than 6 characters, sign-up fails with no error message</t>
  </si>
  <si>
    <t>CS-245</t>
  </si>
  <si>
    <t>[BE] Admin - Activity Log</t>
  </si>
  <si>
    <t>CS-246</t>
  </si>
  <si>
    <t>[FE] Admin - Activity Log</t>
  </si>
  <si>
    <t>CS-247</t>
  </si>
  <si>
    <t>[BE] Admin - Upload Effeciency</t>
  </si>
  <si>
    <t>CS-1239</t>
  </si>
  <si>
    <t>[BE] Forecast related endpoint implementation (Export)</t>
  </si>
  <si>
    <t>CS-570</t>
  </si>
  <si>
    <t>Filters Updates</t>
  </si>
  <si>
    <t>Heather Whittier</t>
  </si>
  <si>
    <t>CS-1163</t>
  </si>
  <si>
    <t>Background job for All Export</t>
  </si>
  <si>
    <t>CS-1164</t>
  </si>
  <si>
    <t>[FE] 30 MB max size message for import</t>
  </si>
  <si>
    <t>CS-1213</t>
  </si>
  <si>
    <t>Resolve all email service reliability issues</t>
  </si>
  <si>
    <t>CS-1217</t>
  </si>
  <si>
    <t>[BE] Implement the Upload/Download Wizard to handle imports/exports.</t>
  </si>
  <si>
    <t>1/29/2026</t>
  </si>
  <si>
    <t>CS-1218</t>
  </si>
  <si>
    <t>Remove the 30MB upload restriction (target: 200MB+).</t>
  </si>
  <si>
    <t>CS-1220</t>
  </si>
  <si>
    <t>Conduct end-to-end QA with real-world data samples.</t>
  </si>
  <si>
    <t>QA</t>
  </si>
  <si>
    <t>CS-1221</t>
  </si>
  <si>
    <t>Integrate Tableau Reporting into the platform.</t>
  </si>
  <si>
    <t>Not Doing</t>
  </si>
  <si>
    <t>CS-1224</t>
  </si>
  <si>
    <t>Conduct year-end QA, finalize documentation, and prepare release packages.</t>
  </si>
  <si>
    <t>CS-1288</t>
  </si>
  <si>
    <t>Ask Caboodle | Coordinate with ML/AI engineer &gt; Implement Character Requirements for Billing</t>
  </si>
  <si>
    <t>CS-1341</t>
  </si>
  <si>
    <t>Margin Calculator | POP Out Calculator</t>
  </si>
  <si>
    <t>4/9/2026</t>
  </si>
  <si>
    <t>CS-1362</t>
  </si>
  <si>
    <t>Broker Dashboard | Ask Caboodle</t>
  </si>
  <si>
    <t>CS-514</t>
  </si>
  <si>
    <t>Optimize the tables to ensure that the site remains unaffected even with a large amount of data.</t>
  </si>
  <si>
    <t>5/7/2024</t>
  </si>
  <si>
    <t>CS-517</t>
  </si>
  <si>
    <t>Apply Indexing Mechanism in Database</t>
  </si>
  <si>
    <t>CS-955</t>
  </si>
  <si>
    <t>UX Audit</t>
  </si>
  <si>
    <t>Abdullah Al Mahmud</t>
  </si>
  <si>
    <t>5/15/2025</t>
  </si>
  <si>
    <t>CS-1166</t>
  </si>
  <si>
    <t>[BE] Check email delivery status for new Sign up</t>
  </si>
  <si>
    <t>CS-190</t>
  </si>
  <si>
    <t>Caboodle Phase 2 Requirements</t>
  </si>
  <si>
    <t>12/9/2023</t>
  </si>
  <si>
    <t>2/5/2024</t>
  </si>
  <si>
    <t>CS-405</t>
  </si>
  <si>
    <t>Monitoring Service</t>
  </si>
  <si>
    <t>2/29/2024</t>
  </si>
  <si>
    <t>CS-512</t>
  </si>
  <si>
    <t>Check if we can further utilize caching from any other areas</t>
  </si>
  <si>
    <t>CS-518</t>
  </si>
  <si>
    <t>Automatically Remove Deleted Records After Certain Period Of Time</t>
  </si>
  <si>
    <t>CS-519</t>
  </si>
  <si>
    <t>[BE] Re-Structuring The Code Base</t>
  </si>
  <si>
    <t>CS-1036</t>
  </si>
  <si>
    <t>newly created items not appearing without refresh</t>
  </si>
  <si>
    <t>CS-1040</t>
  </si>
  <si>
    <t>ui issue  button corners broken</t>
  </si>
  <si>
    <t>CS-1406</t>
  </si>
  <si>
    <t>Switching from Broker Dashboard to Brand Dashboard Sometimes Does Not Work</t>
  </si>
  <si>
    <t>CS-701</t>
  </si>
  <si>
    <t>Share link of pages like in google and restrict it to view only</t>
  </si>
  <si>
    <t>2/17/2025</t>
  </si>
  <si>
    <t>CS-894</t>
  </si>
  <si>
    <t>Issues from QA audit</t>
  </si>
  <si>
    <t>5/5/2025</t>
  </si>
  <si>
    <t>CS-973</t>
  </si>
  <si>
    <t>Regression Test</t>
  </si>
  <si>
    <t>5/26/2025</t>
  </si>
  <si>
    <t>5/29/2025</t>
  </si>
  <si>
    <t>Broker Dashboard  —  33 tickets</t>
  </si>
  <si>
    <t>▸ Market Overview   (6)</t>
  </si>
  <si>
    <t>▸ Promotional Management   (5)</t>
  </si>
  <si>
    <t>▸ Category Review   (11)</t>
  </si>
  <si>
    <t>▸ Distributor APL   (4)</t>
  </si>
  <si>
    <t>▸ Files   (3)</t>
  </si>
  <si>
    <t>▸ Broker Dashboard (General)   (4)</t>
  </si>
  <si>
    <t>Brand  —  56 tickets</t>
  </si>
  <si>
    <t>▸ Product Specs   (8)</t>
  </si>
  <si>
    <t>▸ Distributors   (1)</t>
  </si>
  <si>
    <t>▸ Retailers   (3)</t>
  </si>
  <si>
    <t>▸ Contacts   (1)</t>
  </si>
  <si>
    <t>▸ Pipeline   (5)</t>
  </si>
  <si>
    <t>▸ Trade Spend Sandbox   (37)</t>
  </si>
  <si>
    <t>▸ Promotional Calendar   (1)</t>
  </si>
  <si>
    <t>Reports  —  41 tickets</t>
  </si>
  <si>
    <t>▸ Broker Market Activities   (1)</t>
  </si>
  <si>
    <t>▸ Category Review Report   (2)</t>
  </si>
  <si>
    <t>▸ Retail Reports   (4)</t>
  </si>
  <si>
    <t>▸ Sales Tracker   (1)</t>
  </si>
  <si>
    <t>▸ Trade Spend Rollup   (5)</t>
  </si>
  <si>
    <t>▸ Monthly Report   (7)</t>
  </si>
  <si>
    <t>▸ SPINS   (3)</t>
  </si>
  <si>
    <t>▸ Distributor Report   (16)</t>
  </si>
  <si>
    <t>▸ Banner-to-DC (New Report)   (1)</t>
  </si>
  <si>
    <t>▸ Reports (Unspecified)   (1)</t>
  </si>
  <si>
    <t>Admin  —  67 tickets</t>
  </si>
  <si>
    <t>▸ CRM Data Upload   (11)</t>
  </si>
  <si>
    <t>▸ Data Mapping   (19)</t>
  </si>
  <si>
    <t>▸ User Management   (17)</t>
  </si>
  <si>
    <t>▸ Admin (General)   (20)</t>
  </si>
  <si>
    <t>Platform &amp; Cross-Cutting  —  28 tickets</t>
  </si>
  <si>
    <t>▸ Infrastructure / Cross-Cutting   (28)</t>
  </si>
  <si>
    <t>STORY 1326</t>
  </si>
  <si>
    <t xml:space="preserve">HOME PAGE </t>
  </si>
  <si>
    <t xml:space="preserve">Moved to Brand Mondule (Home Page) </t>
  </si>
  <si>
    <t xml:space="preserve">Need </t>
  </si>
  <si>
    <t xml:space="preserve">Market Overview </t>
  </si>
  <si>
    <t xml:space="preserve">Search Option? </t>
  </si>
  <si>
    <t>STORY</t>
  </si>
  <si>
    <t xml:space="preserve">Check and confirm Heirarchy of Status Upldates to Brand CRM </t>
  </si>
  <si>
    <t xml:space="preserve">Add Log  Ensure user can enter multiple stores </t>
  </si>
  <si>
    <t xml:space="preserve">Add Log Consider Entering 1 Retailer/Multiple Brands </t>
  </si>
  <si>
    <t xml:space="preserve">Add Log Does Distribution Center need to be Required? </t>
  </si>
  <si>
    <t>STORY 1328</t>
  </si>
  <si>
    <t xml:space="preserve">Broker Dashboard Promo Management | Export Data Does not Match Filter Data (Does not work at all) </t>
  </si>
  <si>
    <t xml:space="preserve">Submission Button Does not work </t>
  </si>
  <si>
    <t xml:space="preserve">Number of Stores (Reporting Banner Door Count) This can be misleading KeHE/UNFI Independents = # Entered? </t>
  </si>
  <si>
    <t xml:space="preserve">Export Push to a Formatted Report Option (to save user from exporting then formatting) </t>
  </si>
  <si>
    <t>Implement Promo Status Options currurently found in Brand Promo Calendars (Active/Cancelled/Pending/Did Not Run/Declined/Retailer Approved/Completed/Submitted)in the Submission Button. Currently this is activated in TSS) Tagged by User login</t>
  </si>
  <si>
    <t xml:space="preserve">Promotional Management </t>
  </si>
  <si>
    <t xml:space="preserve">Notes Section (On top) : Allow User to Pin or Freeze Filter Options Example Useful for the year so user doesn't have to filter for the current year everytime the access the page) </t>
  </si>
  <si>
    <t xml:space="preserve">Format the Grid more uniformily (each month is a difference size) </t>
  </si>
  <si>
    <t xml:space="preserve">Allow the Event to move across months if the dates span multiple months </t>
  </si>
  <si>
    <t xml:space="preserve">Catgegory Review </t>
  </si>
  <si>
    <t>STORY 1327</t>
  </si>
  <si>
    <t xml:space="preserve">STORY </t>
  </si>
  <si>
    <t>STORY 1330</t>
  </si>
  <si>
    <t xml:space="preserve">STORY 1330 This Example is a Loveable Design for a new functionality </t>
  </si>
  <si>
    <t>SEE Ticket 1317</t>
  </si>
  <si>
    <t>Broker Dashboard | APL Add Distributor &amp; Product (make dependent to brand) to the Filter</t>
  </si>
  <si>
    <t xml:space="preserve">Allow infinite scrolling </t>
  </si>
  <si>
    <t xml:space="preserve">Distributor APL </t>
  </si>
  <si>
    <t xml:space="preserve">Edit requires a Wholesale Case Cost But Does not require that information during the Upload </t>
  </si>
  <si>
    <t xml:space="preserve">Editing the Comment in the Log Can this Add new rather than override? </t>
  </si>
  <si>
    <t xml:space="preserve">Edit Log needs to allow user to edit: DC </t>
  </si>
  <si>
    <t xml:space="preserve">Complete </t>
  </si>
  <si>
    <t>[BE] CRM - Retailers&gt; Banner Activities Newest Dates at the top of the list</t>
  </si>
  <si>
    <t xml:space="preserve">Allow User to Hide or Archive Plans </t>
  </si>
  <si>
    <t xml:space="preserve">Label The Plans Project </t>
  </si>
  <si>
    <t xml:space="preserve">Pipeline </t>
  </si>
  <si>
    <t xml:space="preserve">Pipeline in Broker Dashboard </t>
  </si>
  <si>
    <t xml:space="preserve">NEW </t>
  </si>
  <si>
    <t xml:space="preserve">Create Calendar View for Deadlines </t>
  </si>
  <si>
    <t xml:space="preserve">TSS </t>
  </si>
  <si>
    <t xml:space="preserve">Moved to Admin </t>
  </si>
  <si>
    <t xml:space="preserve">Moved from Brand </t>
  </si>
  <si>
    <t xml:space="preserve">EDLP is showing up in the Promotional Calendar only in the month of Jan. It should be across all months. It's working correctly in Broker Promotional Management. It might be because it's still pulling from the TSS not Approved?  Same is happening in the Monthly Report </t>
  </si>
  <si>
    <t xml:space="preserve">TSS/Promo Calendar </t>
  </si>
  <si>
    <t>STORY 1329</t>
  </si>
  <si>
    <t xml:space="preserve">Distributor Report </t>
  </si>
  <si>
    <t xml:space="preserve">Add Message to User about Sale Dollar from UNFI VS KeHE </t>
  </si>
  <si>
    <t xml:space="preserve">Allow User to Hide Complete Tasks (Check Box) </t>
  </si>
  <si>
    <t xml:space="preserve">Should user be able to Export the Data? </t>
  </si>
  <si>
    <t>https://lovable.dev/projects/8385ee0b-effd-4a8f-8cb9-27477a3fccfc</t>
  </si>
  <si>
    <t xml:space="preserve">Retailers </t>
  </si>
  <si>
    <t xml:space="preserve">Push Updates to Brands via Email (Summary click here for details) </t>
  </si>
  <si>
    <t xml:space="preserve">Sort Function: There is a Date Time but it does't work. There should be a date on this list </t>
  </si>
  <si>
    <t>Needs  Summary Report See Prototype</t>
  </si>
  <si>
    <t xml:space="preserve">Distributor Report | Auto Flags for New and Disco Items/Retailers (Summary of update x new x disco) </t>
  </si>
  <si>
    <t xml:space="preserve">Single Trade Spend for Basic Subscription </t>
  </si>
  <si>
    <t xml:space="preserve">SPINS </t>
  </si>
  <si>
    <t xml:space="preserve">Hide Market Insights </t>
  </si>
  <si>
    <t xml:space="preserve">Broker Dashboard Button should have Broker Logo </t>
  </si>
  <si>
    <t xml:space="preserve">Caching </t>
  </si>
  <si>
    <t xml:space="preserve">Perform Filter Audit in all CRM Data Upload &gt; User should be able to filter by any column </t>
  </si>
  <si>
    <t xml:space="preserve">New Brand Onbording Process Effencencies </t>
  </si>
  <si>
    <t>Display Dashboard Summary see this link https://lovable.dev/projects/8385ee0b-effd-4a8f-8cb9-27477a3fccfc</t>
  </si>
  <si>
    <t xml:space="preserve">Remove all Reviews at once rather than page by page </t>
  </si>
  <si>
    <t xml:space="preserve">Category Review </t>
  </si>
  <si>
    <t xml:space="preserve">Sales Tracker </t>
  </si>
  <si>
    <t xml:space="preserve">After clicking a retailer in a region to view the product details, there is a back button. When the user clicks the back button, it takes them to the international region no matter what region they started in.  </t>
  </si>
  <si>
    <t>[FE] Admin Sent Emails screen with resend &amp; bulk resend</t>
  </si>
  <si>
    <t>[BE] Email log API with single &amp; bulk resend</t>
  </si>
  <si>
    <t>Admin - View sent email log with resend and bulk resend</t>
  </si>
  <si>
    <t xml:space="preserve">Distributor Report | POD Calculation is incorrect </t>
  </si>
  <si>
    <t xml:space="preserve">CRM&gt;Pipeline &gt; Change Plan to Project &gt; Hide/Archive Option &gt; See Details </t>
  </si>
  <si>
    <t>CS-1429</t>
  </si>
  <si>
    <t>CS-1428</t>
  </si>
  <si>
    <t>CS-1427</t>
  </si>
  <si>
    <t>CS-1426</t>
  </si>
  <si>
    <t>CS-1425</t>
  </si>
  <si>
    <t xml:space="preserve">Admin </t>
  </si>
  <si>
    <t xml:space="preserve">Brand </t>
  </si>
  <si>
    <t xml:space="preserve">CRM Pipeline </t>
  </si>
  <si>
    <t>Kazi Towfiq Tasmin Ornov</t>
  </si>
  <si>
    <r>
      <t xml:space="preserve">Category Review Email Notification See link </t>
    </r>
    <r>
      <rPr>
        <b/>
        <sz val="11"/>
        <color theme="1"/>
        <rFont val="Calibri"/>
        <family val="2"/>
      </rPr>
      <t>https://lovable.dev/projects/932320d2-ce2b-4b52-ad38-ba5a2a214dc1</t>
    </r>
  </si>
  <si>
    <t xml:space="preserve">MARKET OVERVIEW </t>
  </si>
  <si>
    <t xml:space="preserve">CATEGORY REVIEW </t>
  </si>
  <si>
    <t xml:space="preserve">SUMMARY </t>
  </si>
  <si>
    <t xml:space="preserve">DISTRIBUTOR APL </t>
  </si>
  <si>
    <t xml:space="preserve">PROMO MANAGEMENT </t>
  </si>
  <si>
    <t xml:space="preserve">ASK CABOODLE </t>
  </si>
  <si>
    <t xml:space="preserve">PIPELINE </t>
  </si>
  <si>
    <t>TSS</t>
  </si>
  <si>
    <t>CS-1436</t>
  </si>
  <si>
    <t xml:space="preserve">TSS | EDLP Promotional Reporting only Populating the Month of January </t>
  </si>
  <si>
    <t>CS-1435</t>
  </si>
  <si>
    <t xml:space="preserve">Data Mapping | Pulling in KeHE POD Current Year QTY 0 (It Should Not) </t>
  </si>
  <si>
    <t>CS-1433</t>
  </si>
  <si>
    <t xml:space="preserve">Distributor Report | Pulling in Prior Year Sales | It sould only pull in Current Year Sales </t>
  </si>
  <si>
    <t>CS-1432</t>
  </si>
  <si>
    <t>User-Managemet: Replace Role-Specific Invite Email Templates with a Shared Template</t>
  </si>
  <si>
    <t>CS-1431</t>
  </si>
  <si>
    <t xml:space="preserve">Monthly Report | Import Actuals &gt; Failed Records Reason seem invalid </t>
  </si>
  <si>
    <t>CS-1430</t>
  </si>
  <si>
    <t>Setup &amp; Develop SNS Webhook to Receive Email Sending Events</t>
  </si>
  <si>
    <t xml:space="preserve">TSS/Reports </t>
  </si>
  <si>
    <t xml:space="preserve">RETAIL REPORT </t>
  </si>
  <si>
    <t xml:space="preserve">BROKER MARKET OVERVIEW </t>
  </si>
  <si>
    <t xml:space="preserve">SALES TRACKER </t>
  </si>
  <si>
    <t xml:space="preserve">Only report a rolling latest 12 months unless filtered differently </t>
  </si>
  <si>
    <t xml:space="preserve">Date Added </t>
  </si>
  <si>
    <t xml:space="preserve"> </t>
  </si>
  <si>
    <t>Ticket 1316</t>
  </si>
  <si>
    <t xml:space="preserve">Assign time and person </t>
  </si>
  <si>
    <t>NEW 7/20</t>
  </si>
  <si>
    <t xml:space="preserve">Add Product UPC to Pricing Module </t>
  </si>
  <si>
    <t xml:space="preserve">PRODUCT SPEC </t>
  </si>
  <si>
    <t xml:space="preserve">Dashboard Filter My tasks or contact name </t>
  </si>
  <si>
    <t xml:space="preserve">Calendar Sort by Banner or Category? </t>
  </si>
  <si>
    <t xml:space="preserve">Category Review List now has Review End Date: Do we need to change the upload template? </t>
  </si>
  <si>
    <t>CS-1324: Broker Dashboard | Promotional Management Only push Brand Approved Promotions to Promo Management</t>
  </si>
  <si>
    <t xml:space="preserve">Caboodle Dashboard update for CS 1324 CW Made Edits </t>
  </si>
  <si>
    <t xml:space="preserve">Remove or Modify Approved Promotions </t>
  </si>
  <si>
    <t xml:space="preserve">NEW 7/20 </t>
  </si>
  <si>
    <t xml:space="preserve">Currently there is no option to remove a promotion from Approved Promotions, once it’s approved. The current work around is to delete the promotion that was Approved from the Sandbox. The SOP is to create a copy of the Approved Promotion in the Sandbox and add this to the name of the Promotion "Original Version” Date, User Initial’. Then the original version is deleted. 
Modifying Approved Promotions If the User wants to make any changes to the Approved Promotion, the user creates a copy of the Original Version, then edits the name to reflect “Revised, Date, Users Initials” Then modifications to the this version of the Sandbox are made, then pushed to Approved. This is to preserve all versions of the promotion if changes are made. </t>
  </si>
  <si>
    <t>DA1</t>
  </si>
  <si>
    <t>CR3</t>
  </si>
  <si>
    <t>DA2</t>
  </si>
  <si>
    <t>MO1</t>
  </si>
  <si>
    <t>MO2</t>
  </si>
  <si>
    <t xml:space="preserve">MO3 </t>
  </si>
  <si>
    <t xml:space="preserve">CW NEEDS TO REVIEW </t>
  </si>
  <si>
    <t>MO4</t>
  </si>
  <si>
    <t>MO5</t>
  </si>
  <si>
    <t>MO6</t>
  </si>
  <si>
    <t xml:space="preserve">NEED </t>
  </si>
  <si>
    <t>PM2</t>
  </si>
  <si>
    <t>PM3</t>
  </si>
  <si>
    <t>PM4</t>
  </si>
  <si>
    <t>PM5</t>
  </si>
  <si>
    <t>PM6</t>
  </si>
  <si>
    <t>PM7</t>
  </si>
  <si>
    <t xml:space="preserve">Dashboard Tasks </t>
  </si>
  <si>
    <t xml:space="preserve">Pipelione </t>
  </si>
  <si>
    <t xml:space="preserve">DISTRIBUTOR REPORT  </t>
  </si>
  <si>
    <t xml:space="preserve">Sales Tracker Needs a new look: See loveable link for inspiration </t>
  </si>
  <si>
    <t xml:space="preserve">BRAND DASHBOARD </t>
  </si>
  <si>
    <t xml:space="preserve">Brand Dashboard </t>
  </si>
  <si>
    <t>Added 7/27/26</t>
  </si>
  <si>
    <t>Added Ticket 1425</t>
  </si>
  <si>
    <t xml:space="preserve">See mock up from Efti from Spring 2026 (Screenshot to the right) </t>
  </si>
  <si>
    <t>Created by Efti Spring 2026</t>
  </si>
  <si>
    <t xml:space="preserve">Update Brand Dashboard Similar to Broker Dashboard </t>
  </si>
  <si>
    <t xml:space="preserve">Include Ask Caboodle </t>
  </si>
  <si>
    <r>
      <t>Option to not send email for every update (</t>
    </r>
    <r>
      <rPr>
        <i/>
        <sz val="10"/>
        <rFont val="Arial"/>
        <family val="2"/>
      </rPr>
      <t xml:space="preserve">currently everytime there is an update it sends an email to everyone, even if it's just an edit. For example if users simply corrects a spelling and hits save, it sends an email to everyone assigned to the task. When the other users get the email, it's not clear why they are getting an update, it appears nothing has changed. </t>
    </r>
  </si>
  <si>
    <t xml:space="preserve">Allow User to enter Due Date </t>
  </si>
  <si>
    <t xml:space="preserve">Allow User to assign to Users (It adds email but not assignments) </t>
  </si>
  <si>
    <t xml:space="preserve">Broker Dashboarad </t>
  </si>
  <si>
    <t>BROKER DASHBOARD</t>
  </si>
  <si>
    <t xml:space="preserve">Allow user to increase the rows at the bottom (infinenate Scroll) </t>
  </si>
  <si>
    <t xml:space="preserve">Brand Distributor Report </t>
  </si>
  <si>
    <t xml:space="preserve">Brand Broker Market Overiew </t>
  </si>
  <si>
    <t>New 7/20</t>
  </si>
  <si>
    <t xml:space="preserve">CRM DATA UPLOAD </t>
  </si>
  <si>
    <t xml:space="preserve">Admin should be able to control the Icons on the buttons 0n the Reports Page (Example Monthly Report) </t>
  </si>
  <si>
    <t xml:space="preserve">DASHBOARD </t>
  </si>
  <si>
    <t xml:space="preserve">Prototype with Flags alerting user of upcoming Task, promotional submission, category Review Deadlines </t>
  </si>
  <si>
    <t xml:space="preserve">Flags alerting user of upcoming Task, promotional submission, category Review Deadlines </t>
  </si>
  <si>
    <t xml:space="preserve">ADMIN CONTROLS </t>
  </si>
  <si>
    <t xml:space="preserve">NEED A WAY TO: </t>
  </si>
  <si>
    <t xml:space="preserve">Control Dropdown options for Broker Category Review Brand Report </t>
  </si>
  <si>
    <t xml:space="preserve">ENHANCEMENTS NEEDED TO SCALE TO THOUSANDS OF USERS </t>
  </si>
  <si>
    <t xml:space="preserve">Big Data Management </t>
  </si>
  <si>
    <t>New 7/29</t>
  </si>
  <si>
    <t xml:space="preserve">EDLP in Stepper needs some clarification. Currently a user can enter an EDLP in the stepper. They can also add it in the Trade Spend Results page in the Edit promo details section. We need to clarify when it should be used in the stepper and when it should be used in the edit promo details. NOTE: it may depend on if the user is trying to enter both an EDLP and temporary price reductions...vs. just an EDLP </t>
  </si>
  <si>
    <r>
      <rPr>
        <b/>
        <sz val="10"/>
        <rFont val="Arial"/>
        <family val="2"/>
      </rPr>
      <t>Actualize Promotions</t>
    </r>
    <r>
      <rPr>
        <sz val="10"/>
        <rFont val="Arial"/>
        <family val="2"/>
      </rPr>
      <t xml:space="preserve">: What is best method to actualize promotions? Currently we advise users to make a copy of the original promotion and enter the actuals from an external data sourse. However the Data source is in the system, so is there a way to automate this process? We should also have some reports aroud plan to actual </t>
    </r>
  </si>
  <si>
    <r>
      <rPr>
        <b/>
        <sz val="10"/>
        <rFont val="Arial"/>
        <family val="2"/>
      </rPr>
      <t>EDIT PROMO DETAILS</t>
    </r>
    <r>
      <rPr>
        <sz val="10"/>
        <rFont val="Arial"/>
        <family val="2"/>
      </rPr>
      <t xml:space="preserve"> User needs a little more space at the bottom of Promo event details if only 1 row is showing. See Screenshot to the right </t>
    </r>
  </si>
  <si>
    <r>
      <rPr>
        <b/>
        <sz val="10"/>
        <rFont val="Arial"/>
        <family val="2"/>
      </rPr>
      <t>Question: Promotional Year</t>
    </r>
    <r>
      <rPr>
        <sz val="10"/>
        <rFont val="Arial"/>
        <family val="2"/>
      </rPr>
      <t xml:space="preserve">: User Needs Clarification for if it's important to set the year in the TSS before starting a promotion. For example it's 2026 now but I want to build a promotion for 2027, Does the user need to change the year on the main page or can they start in the year of 2026 and ener 2027 dates when they build the promotion?  See Screen shots to the right </t>
    </r>
  </si>
  <si>
    <t xml:space="preserve">STORE REPORT </t>
  </si>
  <si>
    <t xml:space="preserve">Need to eliminate/merge store duplicates </t>
  </si>
  <si>
    <t xml:space="preserve">RETAILER CRM </t>
  </si>
  <si>
    <r>
      <rPr>
        <b/>
        <sz val="11"/>
        <color theme="1"/>
        <rFont val="Calibri"/>
        <family val="2"/>
      </rPr>
      <t>Concept</t>
    </r>
    <r>
      <rPr>
        <sz val="11"/>
        <color theme="1"/>
        <rFont val="Calibri"/>
        <family val="2"/>
        <charset val="1"/>
      </rPr>
      <t xml:space="preserve">: Many Brands have a direct to store program for smaller stores. They need a way to keep track of orders and communications. </t>
    </r>
  </si>
  <si>
    <r>
      <rPr>
        <b/>
        <sz val="11"/>
        <color theme="1"/>
        <rFont val="Calibri"/>
        <family val="2"/>
      </rPr>
      <t>See Distributor Reports</t>
    </r>
    <r>
      <rPr>
        <sz val="11"/>
        <color theme="1"/>
        <rFont val="Calibri"/>
        <family val="2"/>
        <charset val="1"/>
      </rPr>
      <t xml:space="preserve">&gt; </t>
    </r>
    <r>
      <rPr>
        <b/>
        <sz val="11"/>
        <color theme="1"/>
        <rFont val="Calibri"/>
        <family val="2"/>
      </rPr>
      <t>Sales Details</t>
    </r>
    <r>
      <rPr>
        <sz val="11"/>
        <color theme="1"/>
        <rFont val="Calibri"/>
        <family val="2"/>
        <charset val="1"/>
      </rPr>
      <t xml:space="preserve"> where store names, addresses and order details are provided via uplaod </t>
    </r>
  </si>
  <si>
    <r>
      <rPr>
        <b/>
        <sz val="11"/>
        <color theme="1"/>
        <rFont val="Calibri"/>
        <family val="2"/>
      </rPr>
      <t xml:space="preserve">Install a email automation </t>
    </r>
    <r>
      <rPr>
        <sz val="11"/>
        <color theme="1"/>
        <rFont val="Calibri"/>
        <family val="2"/>
        <charset val="1"/>
      </rPr>
      <t xml:space="preserve">&amp; Trigger API that allows users to build trigger logic for emails. For example 30-day inactivity…or lifecycle automation </t>
    </r>
  </si>
  <si>
    <t xml:space="preserve">These 2 charts are for inspiration  &gt; It outlines how we already ingest and report very similar data </t>
  </si>
  <si>
    <t xml:space="preserve">The void report could be converted to stores instead of warehouses so user can viscualize gaps in orders </t>
  </si>
  <si>
    <r>
      <t xml:space="preserve">Need to think about </t>
    </r>
    <r>
      <rPr>
        <b/>
        <sz val="11"/>
        <color theme="1"/>
        <rFont val="Calibri"/>
        <family val="2"/>
      </rPr>
      <t>email templates</t>
    </r>
    <r>
      <rPr>
        <sz val="11"/>
        <color theme="1"/>
        <rFont val="Calibri"/>
        <family val="2"/>
        <charset val="1"/>
      </rPr>
      <t xml:space="preserve">, I don't know that we want to get into template builders but maybe we utilize claude design?  Or they could simply copy &amp; paste a design into an editor?  </t>
    </r>
  </si>
  <si>
    <t xml:space="preserve">Add store level listing from Banner Page. It could be a link to a new page within Caboodle. See the STORE REPORT MGMT Tab </t>
  </si>
  <si>
    <t xml:space="preserve">CRM </t>
  </si>
  <si>
    <t xml:space="preserve">Product Specs </t>
  </si>
  <si>
    <r>
      <rPr>
        <b/>
        <sz val="11"/>
        <color theme="1"/>
        <rFont val="Calibri"/>
        <family val="2"/>
      </rPr>
      <t>Proposed Caboodle Solution</t>
    </r>
    <r>
      <rPr>
        <sz val="11"/>
        <color theme="1"/>
        <rFont val="Calibri"/>
        <family val="2"/>
        <charset val="1"/>
      </rPr>
      <t xml:space="preserve">: Upload brand Store list into a separate Distributor report but very similar to the current one. Call it "House Accounts" </t>
    </r>
    <r>
      <rPr>
        <sz val="11"/>
        <color theme="1"/>
        <rFont val="Calibri"/>
        <family val="2"/>
      </rPr>
      <t>(</t>
    </r>
    <r>
      <rPr>
        <b/>
        <i/>
        <sz val="11"/>
        <color theme="1"/>
        <rFont val="Calibri"/>
        <family val="2"/>
      </rPr>
      <t xml:space="preserve">NOTE: I've been wanting to utilize the old UNFI &amp; KeHE reports for agnotic reporting anyway so this may be a good solution) </t>
    </r>
  </si>
  <si>
    <t>1h</t>
  </si>
  <si>
    <t>30m</t>
  </si>
  <si>
    <t>3h</t>
  </si>
  <si>
    <t>2h</t>
  </si>
  <si>
    <t>4h</t>
  </si>
  <si>
    <t>Done</t>
  </si>
  <si>
    <t>10m</t>
  </si>
  <si>
    <t>Redundend</t>
  </si>
  <si>
    <t>6d</t>
  </si>
  <si>
    <t>CR1</t>
  </si>
  <si>
    <t>BD1</t>
  </si>
  <si>
    <t>BD2</t>
  </si>
  <si>
    <t>BD3</t>
  </si>
  <si>
    <t>BD4</t>
  </si>
  <si>
    <t>CR4</t>
  </si>
  <si>
    <t>CR5</t>
  </si>
  <si>
    <t>Both are typed Question (rather than User Story) since they're explicitly open questions, and both link to the relevant existing tickets (CS-1296, CS-1316, CS-1361, CR4). Not yet committed.</t>
  </si>
  <si>
    <t>PM7 (BUG)</t>
  </si>
  <si>
    <t>BMP1</t>
  </si>
  <si>
    <t>BMP2</t>
  </si>
  <si>
    <t>BMTSS1</t>
  </si>
  <si>
    <t>BMTSS2</t>
  </si>
  <si>
    <t>BMTSS3</t>
  </si>
  <si>
    <t>BMTSS4</t>
  </si>
  <si>
    <t>BMTSS5</t>
  </si>
  <si>
    <t>BMTSS6</t>
  </si>
  <si>
    <r>
      <t>Important findings before writing — </t>
    </r>
    <r>
      <rPr>
        <sz val="11"/>
        <rFont val="Consolas"/>
        <family val="3"/>
      </rPr>
      <t>data/jira-tickets</t>
    </r>
    <r>
      <rPr>
        <sz val="11"/>
        <rFont val="Calibri"/>
        <family val="2"/>
        <charset val="1"/>
      </rPr>
      <t> shows strong overlap:</t>
    </r>
  </si>
  <si>
    <r>
      <t>BMTSS3</t>
    </r>
    <r>
      <rPr>
        <sz val="8"/>
        <rFont val="Segoe UI"/>
        <family val="2"/>
      </rPr>
      <t> (EDLP stepper vs edit details) → directly matches </t>
    </r>
    <r>
      <rPr>
        <sz val="8"/>
        <rFont val="Segoe UI"/>
        <family val="2"/>
      </rPr>
      <t>CS-1302</t>
    </r>
    <r>
      <rPr>
        <sz val="8"/>
        <rFont val="Segoe UI"/>
        <family val="2"/>
      </rPr>
      <t> ("determine if this should be added in the Promo Results Page … or Step 4 Metrics in the stepper").</t>
    </r>
  </si>
  <si>
    <r>
      <t>BMTSS4</t>
    </r>
    <r>
      <rPr>
        <sz val="8"/>
        <rFont val="Segoe UI"/>
        <family val="2"/>
      </rPr>
      <t> (Actualize) → there's </t>
    </r>
    <r>
      <rPr>
        <sz val="8"/>
        <rFont val="Segoe UI"/>
        <family val="2"/>
      </rPr>
      <t>already a working file</t>
    </r>
    <r>
      <rPr>
        <sz val="8"/>
        <rFont val="Segoe UI"/>
        <family val="2"/>
      </rPr>
      <t> </t>
    </r>
    <r>
      <rPr>
        <sz val="11"/>
        <rFont val="Consolas"/>
        <family val="3"/>
      </rPr>
      <t>CS-NEW-brand-tss-actualize-promotions.md</t>
    </r>
    <r>
      <rPr>
        <sz val="8"/>
        <rFont val="Segoe UI"/>
        <family val="2"/>
      </rPr>
      <t> in </t>
    </r>
    <r>
      <rPr>
        <sz val="11"/>
        <rFont val="Consolas"/>
        <family val="3"/>
      </rPr>
      <t>tickets/trade-spend/</t>
    </r>
    <r>
      <rPr>
        <sz val="8"/>
        <rFont val="Segoe UI"/>
        <family val="2"/>
      </rPr>
      <t>, plus Jira </t>
    </r>
    <r>
      <rPr>
        <sz val="8"/>
        <rFont val="Segoe UI"/>
        <family val="2"/>
      </rPr>
      <t>CS-1280</t>
    </r>
    <r>
      <rPr>
        <sz val="8"/>
        <rFont val="Segoe UI"/>
        <family val="2"/>
      </rPr>
      <t> (Actuals Auto Updated from Distributor Reports), </t>
    </r>
    <r>
      <rPr>
        <sz val="8"/>
        <rFont val="Segoe UI"/>
        <family val="2"/>
      </rPr>
      <t>CS-1283</t>
    </r>
    <r>
      <rPr>
        <sz val="8"/>
        <rFont val="Segoe UI"/>
        <family val="2"/>
      </rPr>
      <t>, </t>
    </r>
    <r>
      <rPr>
        <sz val="8"/>
        <rFont val="Segoe UI"/>
        <family val="2"/>
      </rPr>
      <t>CS-1335</t>
    </r>
    <r>
      <rPr>
        <sz val="8"/>
        <rFont val="Segoe UI"/>
        <family val="2"/>
      </rPr>
      <t>.</t>
    </r>
  </si>
  <si>
    <r>
      <t>BMTSS6</t>
    </r>
    <r>
      <rPr>
        <sz val="8"/>
        <rFont val="Segoe UI"/>
        <family val="2"/>
      </rPr>
      <t> (EDLP only in Jan) → </t>
    </r>
    <r>
      <rPr>
        <sz val="8"/>
        <rFont val="Segoe UI"/>
        <family val="2"/>
      </rPr>
      <t>exact match</t>
    </r>
    <r>
      <rPr>
        <sz val="8"/>
        <rFont val="Segoe UI"/>
        <family val="2"/>
      </rPr>
      <t> with Jira </t>
    </r>
    <r>
      <rPr>
        <sz val="8"/>
        <rFont val="Segoe UI"/>
        <family val="2"/>
      </rPr>
      <t>CS-1436</t>
    </r>
    <r>
      <rPr>
        <sz val="8"/>
        <rFont val="Segoe UI"/>
        <family val="2"/>
      </rPr>
      <t> ("EDLP Promotional Reporting only Populating the Month of January … works in Broker Promotional Management … same in Monthly Report").</t>
    </r>
  </si>
  <si>
    <r>
      <t>BMTSS1/BMTSS2</t>
    </r>
    <r>
      <rPr>
        <sz val="8"/>
        <rFont val="Segoe UI"/>
        <family val="2"/>
      </rPr>
      <t> (remove/modify approved) → related to </t>
    </r>
    <r>
      <rPr>
        <sz val="8"/>
        <rFont val="Segoe UI"/>
        <family val="2"/>
      </rPr>
      <t>CS-1122</t>
    </r>
    <r>
      <rPr>
        <sz val="8"/>
        <rFont val="Segoe UI"/>
        <family val="2"/>
      </rPr>
      <t> (copy-to-approved SOP, cancelled-event indication), </t>
    </r>
    <r>
      <rPr>
        <sz val="8"/>
        <rFont val="Segoe UI"/>
        <family val="2"/>
      </rPr>
      <t>CS-1208</t>
    </r>
    <r>
      <rPr>
        <sz val="8"/>
        <rFont val="Segoe UI"/>
        <family val="2"/>
      </rPr>
      <t> (can't rename in BAP), </t>
    </r>
    <r>
      <rPr>
        <sz val="8"/>
        <rFont val="Segoe UI"/>
        <family val="2"/>
      </rPr>
      <t>CS-1183</t>
    </r>
    <r>
      <rPr>
        <sz val="8"/>
        <rFont val="Segoe UI"/>
        <family val="2"/>
      </rPr>
      <t> (TSS↔BAP inconsistency), </t>
    </r>
    <r>
      <rPr>
        <sz val="8"/>
        <rFont val="Segoe UI"/>
        <family val="2"/>
      </rPr>
      <t>CS-1160</t>
    </r>
    <r>
      <rPr>
        <sz val="8"/>
        <rFont val="Segoe UI"/>
        <family val="2"/>
      </rPr>
      <t>.</t>
    </r>
  </si>
  <si>
    <r>
      <t>BMTSS5</t>
    </r>
    <r>
      <rPr>
        <sz val="8"/>
        <rFont val="Segoe UI"/>
        <family val="2"/>
      </rPr>
      <t> (promo details spacing) → context cluster </t>
    </r>
    <r>
      <rPr>
        <sz val="8"/>
        <rFont val="Segoe UI"/>
        <family val="2"/>
      </rPr>
      <t>CS-1188/CS-1239/CS-827</t>
    </r>
    <r>
      <rPr>
        <sz val="8"/>
        <rFont val="Segoe UI"/>
        <family val="2"/>
      </rPr>
      <t> (Edit Promo Event Details).</t>
    </r>
  </si>
  <si>
    <t>BMTPS1</t>
  </si>
  <si>
    <t>BMTRC1</t>
  </si>
  <si>
    <t>ACDU1</t>
  </si>
  <si>
    <t>AD1</t>
  </si>
  <si>
    <t>AAC1</t>
  </si>
  <si>
    <t>AAC2</t>
  </si>
  <si>
    <t>ANAWT1</t>
  </si>
  <si>
    <t>ASR1</t>
  </si>
  <si>
    <t>RDR1</t>
  </si>
  <si>
    <t>RDR2</t>
  </si>
  <si>
    <t>RBMO1</t>
  </si>
  <si>
    <t>RBMO2</t>
  </si>
  <si>
    <t>RBS1</t>
  </si>
  <si>
    <t>RBST1</t>
  </si>
  <si>
    <r>
      <t>SRM1</t>
    </r>
    <r>
      <rPr>
        <sz val="8"/>
        <rFont val="Segoe UI"/>
        <family val="2"/>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</si>
</sst>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charset val="1"/>
    </font>
    <font>
      <b/>
      <sz val="14"/>
      <color rgb="FFFFFFFF"/>
      <name val="Arial"/>
      <family val="2"/>
    </font>
    <font>
      <b/>
      <sz val="10"/>
      <color rgb="FF1F3864"/>
      <name val="Arial"/>
      <family val="2"/>
    </font>
    <font>
      <sz val="10"/>
      <name val="Arial"/>
      <family val="2"/>
    </font>
    <font>
      <b/>
      <sz val="10"/>
      <color rgb="FFFFFFFF"/>
      <name val="Arial"/>
      <family val="2"/>
    </font>
    <font>
      <b/>
      <sz val="10"/>
      <name val="Arial"/>
      <family val="2"/>
    </font>
    <font>
      <b/>
      <sz val="11"/>
      <color rgb="FFFFFFFF"/>
      <name val="Arial"/>
      <family val="2"/>
    </font>
    <font>
      <sz val="11"/>
      <color theme="0"/>
      <name val="Calibri"/>
      <family val="2"/>
      <charset val="1"/>
    </font>
    <font>
      <u/>
      <sz val="11"/>
      <color theme="10"/>
      <name val="Calibri"/>
      <family val="2"/>
      <charset val="1"/>
    </font>
    <font>
      <strike/>
      <sz val="10"/>
      <name val="Arial"/>
      <family val="2"/>
    </font>
    <font>
      <sz val="11"/>
      <color theme="1"/>
      <name val="Calibri"/>
      <family val="2"/>
    </font>
    <font>
      <b/>
      <sz val="12"/>
      <color theme="0"/>
      <name val="Calibri"/>
      <family val="2"/>
    </font>
    <font>
      <sz val="12"/>
      <color theme="0"/>
      <name val="Calibri"/>
      <family val="2"/>
    </font>
    <font>
      <b/>
      <sz val="11"/>
      <color theme="1"/>
      <name val="Calibri"/>
      <family val="2"/>
    </font>
    <font>
      <b/>
      <sz val="12"/>
      <name val="Calibri"/>
      <family val="2"/>
    </font>
    <font>
      <b/>
      <sz val="12"/>
      <color theme="1"/>
      <name val="Calibri"/>
      <family val="2"/>
    </font>
    <font>
      <sz val="12"/>
      <name val="Calibri"/>
      <family val="2"/>
    </font>
    <font>
      <b/>
      <sz val="14"/>
      <name val="Calibri"/>
      <family val="2"/>
    </font>
    <font>
      <i/>
      <sz val="10"/>
      <name val="Arial"/>
      <family val="2"/>
    </font>
    <font>
      <b/>
      <sz val="11"/>
      <color theme="1"/>
      <name val="Calibri"/>
      <family val="2"/>
      <charset val="1"/>
    </font>
    <font>
      <b/>
      <sz val="10"/>
      <name val="Calibri"/>
      <family val="2"/>
    </font>
    <font>
      <b/>
      <i/>
      <sz val="11"/>
      <color theme="1"/>
      <name val="Calibri"/>
      <family val="2"/>
    </font>
    <font>
      <sz val="11"/>
      <color theme="0"/>
      <name val="Calibri"/>
      <family val="2"/>
      <scheme val="minor"/>
    </font>
    <font>
      <sz val="8"/>
      <name val="Calibri"/>
      <family val="2"/>
      <charset val="1"/>
    </font>
    <font>
      <sz val="11"/>
      <color rgb="FFFF0000"/>
      <name val="Calibri"/>
      <family val="2"/>
      <charset val="1"/>
    </font>
    <font>
      <sz val="8"/>
      <name val="Arial"/>
      <family val="2"/>
    </font>
    <font>
      <sz val="11"/>
      <name val="Calibri"/>
      <family val="2"/>
      <charset val="1"/>
    </font>
    <font>
      <sz val="11"/>
      <name val="Consolas"/>
      <family val="3"/>
    </font>
    <font>
      <sz val="8"/>
      <name val="Segoe UI"/>
      <family val="2"/>
    </font>
    <font>
      <sz val="10"/>
      <color rgb="FFFF0000"/>
      <name val="Arial"/>
      <family val="2"/>
    </font>
  </fonts>
  <fills count="23">
    <fill>
      <patternFill patternType="none"/>
    </fill>
    <fill>
      <patternFill patternType="gray125"/>
    </fill>
    <fill>
      <patternFill patternType="solid">
        <fgColor rgb="FF1F3864"/>
        <bgColor rgb="FF333333"/>
      </patternFill>
    </fill>
    <fill>
      <patternFill patternType="solid">
        <fgColor rgb="FFEAF0FB"/>
        <bgColor rgb="FFF2F2F2"/>
      </patternFill>
    </fill>
    <fill>
      <patternFill patternType="solid">
        <fgColor rgb="FFFFFFFF"/>
        <bgColor rgb="FFF2F2F2"/>
      </patternFill>
    </fill>
    <fill>
      <patternFill patternType="solid">
        <fgColor rgb="FFFCE4D6"/>
        <bgColor rgb="FFFFF2CC"/>
      </patternFill>
    </fill>
    <fill>
      <patternFill patternType="solid">
        <fgColor rgb="FFF2F2F2"/>
        <bgColor rgb="FFEAF0FB"/>
      </patternFill>
    </fill>
    <fill>
      <patternFill patternType="solid">
        <fgColor rgb="FFE2EFDA"/>
        <bgColor rgb="FFD9F2D0"/>
      </patternFill>
    </fill>
    <fill>
      <patternFill patternType="solid">
        <fgColor rgb="FFDDEBF7"/>
        <bgColor rgb="FFEAF0FB"/>
      </patternFill>
    </fill>
    <fill>
      <patternFill patternType="solid">
        <fgColor rgb="FFFFF2CC"/>
        <bgColor rgb="FFFCE4D6"/>
      </patternFill>
    </fill>
    <fill>
      <patternFill patternType="solid">
        <fgColor rgb="FFFFC7CE"/>
        <bgColor rgb="FFFCE4D6"/>
      </patternFill>
    </fill>
    <fill>
      <patternFill patternType="solid">
        <fgColor rgb="FFD9F2D0"/>
        <bgColor rgb="FFE2EFDA"/>
      </patternFill>
    </fill>
    <fill>
      <patternFill patternType="solid">
        <fgColor rgb="FF2E5496"/>
        <bgColor rgb="FF1F3864"/>
      </patternFill>
    </fill>
    <fill>
      <patternFill patternType="solid">
        <fgColor theme="4" tint="-0.249977111117893"/>
        <bgColor indexed="64"/>
      </patternFill>
    </fill>
    <fill>
      <patternFill patternType="solid">
        <fgColor rgb="FFFFFF00"/>
        <bgColor indexed="64"/>
      </patternFill>
    </fill>
    <fill>
      <patternFill patternType="solid">
        <fgColor theme="3" tint="-0.249977111117893"/>
        <bgColor indexed="64"/>
      </patternFill>
    </fill>
    <fill>
      <patternFill patternType="solid">
        <fgColor theme="7" tint="0.79998168889431442"/>
        <bgColor indexed="64"/>
      </patternFill>
    </fill>
    <fill>
      <patternFill patternType="solid">
        <fgColor rgb="FF92D05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0000"/>
        <bgColor indexed="64"/>
      </patternFill>
    </fill>
    <fill>
      <patternFill patternType="solid">
        <fgColor rgb="FF7030A0"/>
        <bgColor indexed="64"/>
      </patternFill>
    </fill>
    <fill>
      <patternFill patternType="solid">
        <fgColor theme="5"/>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top style="thin">
        <color indexed="64"/>
      </top>
      <bottom style="thin">
        <color indexed="64"/>
      </bottom>
      <diagonal/>
    </border>
    <border>
      <left style="thin">
        <color indexed="64"/>
      </left>
      <right/>
      <top/>
      <bottom/>
      <diagonal/>
    </border>
  </borders>
  <cellStyleXfs count="3">
    <xf numFmtId="0" fontId="0" fillId="0" borderId="0"/>
    <xf numFmtId="0" fontId="8" fillId="0" borderId="0" applyNumberFormat="0" applyFill="0" applyBorder="0" applyAlignment="0" applyProtection="0"/>
    <xf numFmtId="0" fontId="22" fillId="22" borderId="0" applyNumberFormat="0" applyBorder="0" applyAlignment="0" applyProtection="0"/>
  </cellStyleXfs>
  <cellXfs count="151">
    <xf numFmtId="0" fontId="0" fillId="0" borderId="0" xfId="0"/>
    <xf numFmtId="0" fontId="2" fillId="0" borderId="0" xfId="0" applyFont="1" applyAlignment="1">
      <alignment vertical="top" wrapText="1"/>
    </xf>
    <xf numFmtId="0" fontId="4" fillId="2" borderId="1" xfId="0" applyFont="1" applyFill="1" applyBorder="1" applyAlignment="1">
      <alignment horizontal="center" vertical="center"/>
    </xf>
    <xf numFmtId="0" fontId="3" fillId="3" borderId="1" xfId="0" applyFont="1" applyFill="1" applyBorder="1"/>
    <xf numFmtId="0" fontId="5" fillId="3" borderId="1" xfId="0" applyFont="1" applyFill="1" applyBorder="1"/>
    <xf numFmtId="0" fontId="3" fillId="3" borderId="1" xfId="0" applyFont="1" applyFill="1" applyBorder="1" applyAlignment="1">
      <alignment horizontal="center" vertical="center"/>
    </xf>
    <xf numFmtId="0" fontId="3" fillId="0" borderId="1" xfId="0" applyFont="1" applyBorder="1"/>
    <xf numFmtId="0" fontId="5" fillId="0" borderId="1" xfId="0" applyFont="1" applyBorder="1"/>
    <xf numFmtId="0" fontId="3" fillId="0" borderId="1" xfId="0" applyFont="1" applyBorder="1" applyAlignment="1">
      <alignment horizontal="center" vertical="center"/>
    </xf>
    <xf numFmtId="0" fontId="6" fillId="2" borderId="1" xfId="0" applyFont="1" applyFill="1" applyBorder="1" applyAlignment="1">
      <alignment horizontal="center" vertical="center"/>
    </xf>
    <xf numFmtId="0" fontId="3" fillId="0" borderId="1" xfId="0" applyFont="1" applyBorder="1" applyAlignment="1">
      <alignment horizontal="left" vertical="top" wrapText="1"/>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0" borderId="1" xfId="0" applyFont="1" applyBorder="1" applyAlignment="1">
      <alignment horizontal="left" vertical="center" wrapText="1"/>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0" fillId="13" borderId="0" xfId="0" applyFill="1"/>
    <xf numFmtId="0" fontId="7" fillId="13" borderId="0" xfId="0" applyFont="1" applyFill="1"/>
    <xf numFmtId="0" fontId="3" fillId="0" borderId="0" xfId="0" applyFont="1" applyAlignment="1">
      <alignment horizontal="center" vertical="center"/>
    </xf>
    <xf numFmtId="0" fontId="4" fillId="2" borderId="1" xfId="0" applyFont="1" applyFill="1" applyBorder="1" applyAlignment="1">
      <alignment horizontal="left" vertical="center"/>
    </xf>
    <xf numFmtId="0" fontId="3" fillId="0" borderId="1" xfId="0" applyFont="1" applyBorder="1" applyAlignment="1">
      <alignment horizontal="left" vertical="center"/>
    </xf>
    <xf numFmtId="0" fontId="0" fillId="0" borderId="0" xfId="0" applyAlignment="1">
      <alignment horizontal="left"/>
    </xf>
    <xf numFmtId="0" fontId="3" fillId="0" borderId="0" xfId="0" applyFont="1" applyAlignment="1">
      <alignment horizontal="left" vertical="center"/>
    </xf>
    <xf numFmtId="0" fontId="0" fillId="0" borderId="0" xfId="0" applyAlignment="1">
      <alignment wrapText="1"/>
    </xf>
    <xf numFmtId="0" fontId="3" fillId="0" borderId="1" xfId="0" applyFont="1" applyBorder="1" applyAlignment="1">
      <alignment horizontal="center" vertical="center" wrapText="1"/>
    </xf>
    <xf numFmtId="0" fontId="9" fillId="0" borderId="1" xfId="0" applyFont="1" applyBorder="1" applyAlignment="1">
      <alignment horizontal="left" vertical="top" wrapText="1"/>
    </xf>
    <xf numFmtId="0" fontId="9" fillId="0" borderId="1" xfId="0" applyFont="1" applyBorder="1" applyAlignment="1">
      <alignment horizontal="center" vertical="center"/>
    </xf>
    <xf numFmtId="0" fontId="9" fillId="4" borderId="1" xfId="0" applyFont="1" applyFill="1" applyBorder="1" applyAlignment="1">
      <alignment horizontal="center" vertical="center"/>
    </xf>
    <xf numFmtId="0" fontId="9" fillId="9" borderId="1" xfId="0" applyFont="1" applyFill="1" applyBorder="1" applyAlignment="1">
      <alignment horizontal="center" vertical="center"/>
    </xf>
    <xf numFmtId="0" fontId="9" fillId="6" borderId="1" xfId="0" applyFont="1" applyFill="1" applyBorder="1" applyAlignment="1">
      <alignment horizontal="center" vertical="center"/>
    </xf>
    <xf numFmtId="0" fontId="9" fillId="0" borderId="1" xfId="0" applyFont="1" applyBorder="1" applyAlignment="1">
      <alignment horizontal="left" vertical="center" wrapText="1"/>
    </xf>
    <xf numFmtId="0" fontId="3" fillId="14" borderId="1" xfId="0" applyFont="1" applyFill="1" applyBorder="1" applyAlignment="1">
      <alignment horizontal="left" vertical="top" wrapText="1"/>
    </xf>
    <xf numFmtId="0" fontId="11" fillId="15" borderId="0" xfId="0" applyFont="1" applyFill="1" applyAlignment="1">
      <alignment horizontal="left"/>
    </xf>
    <xf numFmtId="0" fontId="12" fillId="15" borderId="0" xfId="0" applyFont="1" applyFill="1"/>
    <xf numFmtId="0" fontId="0" fillId="0" borderId="0" xfId="0" applyAlignment="1">
      <alignment horizontal="center"/>
    </xf>
    <xf numFmtId="0" fontId="3" fillId="0" borderId="3" xfId="0" applyFont="1" applyBorder="1" applyAlignment="1">
      <alignment horizontal="center" vertical="center"/>
    </xf>
    <xf numFmtId="0" fontId="3" fillId="0" borderId="3" xfId="0" applyFont="1" applyBorder="1" applyAlignment="1">
      <alignment horizontal="left" vertical="top" wrapText="1"/>
    </xf>
    <xf numFmtId="0" fontId="3" fillId="4" borderId="3" xfId="0" applyFont="1" applyFill="1" applyBorder="1" applyAlignment="1">
      <alignment horizontal="center" vertical="center"/>
    </xf>
    <xf numFmtId="0" fontId="3" fillId="5" borderId="3" xfId="0" applyFont="1" applyFill="1" applyBorder="1" applyAlignment="1">
      <alignment horizontal="center" vertical="center"/>
    </xf>
    <xf numFmtId="0" fontId="3" fillId="6" borderId="3" xfId="0" applyFont="1" applyFill="1" applyBorder="1" applyAlignment="1">
      <alignment horizontal="center" vertical="center"/>
    </xf>
    <xf numFmtId="0" fontId="3" fillId="0" borderId="3" xfId="0" applyFont="1" applyBorder="1" applyAlignment="1">
      <alignment horizontal="left" vertical="center" wrapText="1"/>
    </xf>
    <xf numFmtId="0" fontId="0" fillId="0" borderId="2" xfId="0" applyBorder="1"/>
    <xf numFmtId="0" fontId="3" fillId="0" borderId="2" xfId="0" applyFont="1" applyBorder="1" applyAlignment="1">
      <alignment horizontal="center" vertical="center"/>
    </xf>
    <xf numFmtId="0" fontId="0" fillId="0" borderId="2" xfId="0" applyBorder="1" applyAlignment="1">
      <alignment horizontal="center"/>
    </xf>
    <xf numFmtId="14" fontId="0" fillId="0" borderId="2" xfId="0" applyNumberFormat="1" applyBorder="1"/>
    <xf numFmtId="0" fontId="0" fillId="16" borderId="2" xfId="0" applyFill="1" applyBorder="1"/>
    <xf numFmtId="0" fontId="3" fillId="16" borderId="2" xfId="0" applyFont="1" applyFill="1" applyBorder="1" applyAlignment="1">
      <alignment horizontal="center" vertical="center"/>
    </xf>
    <xf numFmtId="0" fontId="0" fillId="16" borderId="2" xfId="0" applyFill="1" applyBorder="1" applyAlignment="1">
      <alignment horizontal="center"/>
    </xf>
    <xf numFmtId="14" fontId="0" fillId="16" borderId="2" xfId="0" applyNumberFormat="1" applyFill="1" applyBorder="1"/>
    <xf numFmtId="0" fontId="11" fillId="0" borderId="0" xfId="0" applyFont="1" applyAlignment="1">
      <alignment horizontal="left"/>
    </xf>
    <xf numFmtId="0" fontId="12" fillId="0" borderId="0" xfId="0" applyFont="1"/>
    <xf numFmtId="0" fontId="14" fillId="0" borderId="0" xfId="0" applyFont="1"/>
    <xf numFmtId="0" fontId="3" fillId="0" borderId="2" xfId="0" applyFont="1" applyBorder="1" applyAlignment="1">
      <alignment horizontal="left" vertical="center"/>
    </xf>
    <xf numFmtId="0" fontId="0" fillId="0" borderId="2" xfId="0" applyBorder="1" applyAlignment="1">
      <alignment wrapText="1"/>
    </xf>
    <xf numFmtId="0" fontId="3" fillId="0" borderId="2" xfId="0" applyFont="1" applyBorder="1" applyAlignment="1">
      <alignment horizontal="left" vertical="center" wrapText="1"/>
    </xf>
    <xf numFmtId="0" fontId="0" fillId="14" borderId="2" xfId="0" applyFill="1" applyBorder="1" applyAlignment="1">
      <alignment wrapText="1"/>
    </xf>
    <xf numFmtId="0" fontId="3" fillId="14" borderId="2" xfId="0" applyFont="1" applyFill="1" applyBorder="1" applyAlignment="1">
      <alignment horizontal="left" vertical="center"/>
    </xf>
    <xf numFmtId="0" fontId="14" fillId="0" borderId="0" xfId="0" applyFont="1" applyAlignment="1">
      <alignment horizontal="left"/>
    </xf>
    <xf numFmtId="22" fontId="0" fillId="16" borderId="2" xfId="0" applyNumberFormat="1" applyFill="1" applyBorder="1"/>
    <xf numFmtId="0" fontId="4" fillId="2" borderId="1" xfId="0" applyFont="1" applyFill="1" applyBorder="1" applyAlignment="1">
      <alignment horizontal="center" vertical="center" wrapText="1"/>
    </xf>
    <xf numFmtId="0" fontId="0" fillId="16" borderId="2" xfId="0" applyFill="1" applyBorder="1" applyAlignment="1">
      <alignment wrapText="1"/>
    </xf>
    <xf numFmtId="0" fontId="3" fillId="0" borderId="2" xfId="0" applyFont="1" applyBorder="1" applyAlignment="1">
      <alignment horizontal="left" vertical="top" wrapText="1"/>
    </xf>
    <xf numFmtId="0" fontId="5" fillId="0" borderId="2" xfId="0" applyFont="1" applyBorder="1" applyAlignment="1">
      <alignment horizontal="left" vertical="top" wrapText="1"/>
    </xf>
    <xf numFmtId="0" fontId="8" fillId="0" borderId="2" xfId="1" applyBorder="1"/>
    <xf numFmtId="0" fontId="13" fillId="0" borderId="2" xfId="0" applyFont="1" applyBorder="1"/>
    <xf numFmtId="0" fontId="10" fillId="0" borderId="2" xfId="0" applyFont="1" applyBorder="1"/>
    <xf numFmtId="0" fontId="0" fillId="0" borderId="2" xfId="0" applyBorder="1" applyAlignment="1">
      <alignment vertical="top" wrapText="1"/>
    </xf>
    <xf numFmtId="14" fontId="0" fillId="0" borderId="0" xfId="0" applyNumberFormat="1" applyAlignment="1">
      <alignment horizontal="center"/>
    </xf>
    <xf numFmtId="0" fontId="14" fillId="0" borderId="0" xfId="0" applyFont="1" applyAlignment="1">
      <alignment horizontal="center"/>
    </xf>
    <xf numFmtId="0" fontId="0" fillId="14" borderId="0" xfId="0" applyFill="1"/>
    <xf numFmtId="0" fontId="0" fillId="14" borderId="0" xfId="0" applyFill="1" applyAlignment="1">
      <alignment horizontal="left"/>
    </xf>
    <xf numFmtId="0" fontId="3" fillId="14" borderId="1" xfId="0" applyFont="1" applyFill="1" applyBorder="1" applyAlignment="1">
      <alignment horizontal="left" vertical="center"/>
    </xf>
    <xf numFmtId="0" fontId="3" fillId="14" borderId="1" xfId="0" applyFont="1" applyFill="1" applyBorder="1" applyAlignment="1">
      <alignment horizontal="center" vertical="center"/>
    </xf>
    <xf numFmtId="0" fontId="0" fillId="17" borderId="0" xfId="0" applyFill="1"/>
    <xf numFmtId="0" fontId="12" fillId="0" borderId="0" xfId="0" applyFont="1" applyAlignment="1">
      <alignment horizontal="center"/>
    </xf>
    <xf numFmtId="0" fontId="17" fillId="0" borderId="0" xfId="0" applyFont="1"/>
    <xf numFmtId="0" fontId="16" fillId="14" borderId="0" xfId="0" applyFont="1" applyFill="1"/>
    <xf numFmtId="0" fontId="5" fillId="18" borderId="0" xfId="0" applyFont="1" applyFill="1" applyAlignment="1">
      <alignment horizontal="left" vertical="top" wrapText="1"/>
    </xf>
    <xf numFmtId="0" fontId="3" fillId="18" borderId="0" xfId="0" applyFont="1" applyFill="1" applyAlignment="1">
      <alignment horizontal="left" vertical="center"/>
    </xf>
    <xf numFmtId="0" fontId="5" fillId="18" borderId="2" xfId="0" applyFont="1" applyFill="1" applyBorder="1" applyAlignment="1">
      <alignment horizontal="left" vertical="top" wrapText="1"/>
    </xf>
    <xf numFmtId="0" fontId="3" fillId="18" borderId="2" xfId="0" applyFont="1" applyFill="1" applyBorder="1" applyAlignment="1">
      <alignment horizontal="left" vertical="center"/>
    </xf>
    <xf numFmtId="0" fontId="0" fillId="18" borderId="0" xfId="0" applyFill="1"/>
    <xf numFmtId="0" fontId="14" fillId="18" borderId="0" xfId="0" applyFont="1" applyFill="1"/>
    <xf numFmtId="0" fontId="16" fillId="18" borderId="0" xfId="0" applyFont="1" applyFill="1" applyAlignment="1">
      <alignment horizontal="left"/>
    </xf>
    <xf numFmtId="0" fontId="16" fillId="0" borderId="2" xfId="0" applyFont="1" applyBorder="1"/>
    <xf numFmtId="0" fontId="16" fillId="0" borderId="2" xfId="0" applyFont="1" applyBorder="1" applyAlignment="1">
      <alignment horizontal="left"/>
    </xf>
    <xf numFmtId="0" fontId="14" fillId="0" borderId="2" xfId="0" applyFont="1" applyBorder="1" applyAlignment="1">
      <alignment horizontal="left"/>
    </xf>
    <xf numFmtId="14" fontId="0" fillId="14" borderId="0" xfId="0" applyNumberFormat="1" applyFill="1"/>
    <xf numFmtId="0" fontId="13" fillId="18" borderId="0" xfId="0" applyFont="1" applyFill="1" applyAlignment="1">
      <alignment wrapText="1"/>
    </xf>
    <xf numFmtId="0" fontId="0" fillId="18" borderId="0" xfId="0" applyFill="1" applyAlignment="1">
      <alignment wrapText="1"/>
    </xf>
    <xf numFmtId="0" fontId="15" fillId="18" borderId="0" xfId="0" applyFont="1" applyFill="1" applyAlignment="1">
      <alignment wrapText="1"/>
    </xf>
    <xf numFmtId="0" fontId="0" fillId="14" borderId="2" xfId="0" applyFill="1" applyBorder="1"/>
    <xf numFmtId="0" fontId="10" fillId="14" borderId="2" xfId="0" applyFont="1" applyFill="1" applyBorder="1" applyAlignment="1">
      <alignment wrapText="1"/>
    </xf>
    <xf numFmtId="0" fontId="13" fillId="18" borderId="2" xfId="0" applyFont="1" applyFill="1" applyBorder="1" applyAlignment="1">
      <alignment vertical="top"/>
    </xf>
    <xf numFmtId="0" fontId="0" fillId="18" borderId="2" xfId="0" applyFill="1" applyBorder="1"/>
    <xf numFmtId="0" fontId="13" fillId="18" borderId="2" xfId="0" applyFont="1" applyFill="1" applyBorder="1"/>
    <xf numFmtId="0" fontId="19" fillId="18" borderId="2" xfId="0" applyFont="1" applyFill="1" applyBorder="1"/>
    <xf numFmtId="0" fontId="16" fillId="0" borderId="2" xfId="0" applyFont="1" applyBorder="1" applyAlignment="1">
      <alignment wrapText="1"/>
    </xf>
    <xf numFmtId="0" fontId="13" fillId="18" borderId="0" xfId="0" applyFont="1" applyFill="1"/>
    <xf numFmtId="0" fontId="19" fillId="18" borderId="0" xfId="0" applyFont="1" applyFill="1"/>
    <xf numFmtId="0" fontId="10" fillId="0" borderId="0" xfId="0" applyFont="1"/>
    <xf numFmtId="0" fontId="20" fillId="18" borderId="0" xfId="0" applyFont="1" applyFill="1" applyAlignment="1">
      <alignment horizontal="left" vertical="top" wrapText="1"/>
    </xf>
    <xf numFmtId="0" fontId="5" fillId="19" borderId="4" xfId="0" applyFont="1" applyFill="1" applyBorder="1" applyAlignment="1">
      <alignment horizontal="left" vertical="top" wrapText="1"/>
    </xf>
    <xf numFmtId="0" fontId="19" fillId="19" borderId="0" xfId="0" applyFont="1" applyFill="1"/>
    <xf numFmtId="0" fontId="0" fillId="0" borderId="5" xfId="0" applyBorder="1"/>
    <xf numFmtId="0" fontId="5" fillId="18" borderId="6" xfId="0" applyFont="1" applyFill="1" applyBorder="1" applyAlignment="1">
      <alignment horizontal="left" vertical="top" wrapText="1"/>
    </xf>
    <xf numFmtId="0" fontId="3" fillId="0" borderId="8" xfId="0" applyFont="1" applyBorder="1" applyAlignment="1">
      <alignment horizontal="left" vertical="top" wrapText="1"/>
    </xf>
    <xf numFmtId="0" fontId="0" fillId="0" borderId="9" xfId="0" applyBorder="1"/>
    <xf numFmtId="0" fontId="0" fillId="18" borderId="7" xfId="0" applyFill="1" applyBorder="1"/>
    <xf numFmtId="0" fontId="13" fillId="0" borderId="0" xfId="0" applyFont="1"/>
    <xf numFmtId="0" fontId="3" fillId="20" borderId="1" xfId="0" applyFont="1" applyFill="1" applyBorder="1" applyAlignment="1">
      <alignment horizontal="left" vertical="center"/>
    </xf>
    <xf numFmtId="0" fontId="3" fillId="6" borderId="10" xfId="0" applyFont="1" applyFill="1" applyBorder="1" applyAlignment="1">
      <alignment horizontal="center" vertical="center"/>
    </xf>
    <xf numFmtId="0" fontId="3" fillId="21" borderId="1" xfId="0" applyFont="1" applyFill="1" applyBorder="1" applyAlignment="1">
      <alignment horizontal="left" vertical="center"/>
    </xf>
    <xf numFmtId="0" fontId="4" fillId="2" borderId="10" xfId="0" applyFont="1" applyFill="1" applyBorder="1" applyAlignment="1">
      <alignment horizontal="center" vertical="center"/>
    </xf>
    <xf numFmtId="0" fontId="3" fillId="8" borderId="10" xfId="0" applyFont="1" applyFill="1" applyBorder="1" applyAlignment="1">
      <alignment horizontal="center" vertical="center"/>
    </xf>
    <xf numFmtId="0" fontId="3" fillId="5"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5" borderId="2" xfId="0" applyFont="1" applyFill="1" applyBorder="1" applyAlignment="1">
      <alignment horizontal="center" vertical="center"/>
    </xf>
    <xf numFmtId="0" fontId="12" fillId="15" borderId="2" xfId="0" applyFont="1" applyFill="1" applyBorder="1"/>
    <xf numFmtId="0" fontId="12" fillId="0" borderId="2" xfId="0" applyFont="1" applyBorder="1"/>
    <xf numFmtId="0" fontId="4" fillId="2" borderId="12" xfId="0" applyFont="1" applyFill="1" applyBorder="1" applyAlignment="1">
      <alignment horizontal="center" vertical="center"/>
    </xf>
    <xf numFmtId="0" fontId="3" fillId="6" borderId="12" xfId="0" applyFont="1" applyFill="1" applyBorder="1" applyAlignment="1">
      <alignment horizontal="center" vertical="center"/>
    </xf>
    <xf numFmtId="0" fontId="0" fillId="0" borderId="12" xfId="0" applyBorder="1"/>
    <xf numFmtId="0" fontId="3" fillId="8" borderId="12" xfId="0" applyFont="1" applyFill="1" applyBorder="1" applyAlignment="1">
      <alignment horizontal="center" vertical="center"/>
    </xf>
    <xf numFmtId="0" fontId="3" fillId="5" borderId="12" xfId="0" applyFont="1" applyFill="1" applyBorder="1" applyAlignment="1">
      <alignment horizontal="center" vertical="center"/>
    </xf>
    <xf numFmtId="0" fontId="12" fillId="15" borderId="12" xfId="0" applyFont="1" applyFill="1" applyBorder="1"/>
    <xf numFmtId="0" fontId="12" fillId="0" borderId="12" xfId="0" applyFont="1" applyBorder="1"/>
    <xf numFmtId="0" fontId="3" fillId="0" borderId="12" xfId="0" applyFont="1" applyBorder="1" applyAlignment="1">
      <alignment horizontal="left" vertical="center"/>
    </xf>
    <xf numFmtId="0" fontId="3" fillId="0" borderId="11" xfId="0" applyFont="1" applyBorder="1" applyAlignment="1">
      <alignment horizontal="left" vertical="center" wrapText="1"/>
    </xf>
    <xf numFmtId="0" fontId="0" fillId="17" borderId="0" xfId="0" applyFill="1" applyAlignment="1">
      <alignment horizontal="center"/>
    </xf>
    <xf numFmtId="0" fontId="22" fillId="22" borderId="0" xfId="2" applyAlignment="1">
      <alignment horizontal="center"/>
    </xf>
    <xf numFmtId="0" fontId="24" fillId="0" borderId="0" xfId="0" applyFont="1"/>
    <xf numFmtId="0" fontId="25" fillId="0" borderId="0" xfId="0" applyFont="1"/>
    <xf numFmtId="0" fontId="26" fillId="0" borderId="0" xfId="0" applyFont="1" applyAlignment="1">
      <alignment vertical="center"/>
    </xf>
    <xf numFmtId="0" fontId="28" fillId="0" borderId="0" xfId="0" applyFont="1" applyAlignment="1">
      <alignment horizontal="left" vertical="center" wrapText="1" indent="1"/>
    </xf>
    <xf numFmtId="0" fontId="28" fillId="0" borderId="0" xfId="0" applyFont="1"/>
    <xf numFmtId="0" fontId="3" fillId="0" borderId="0" xfId="0" applyFont="1" applyAlignment="1">
      <alignment horizontal="left" vertical="top" wrapText="1"/>
    </xf>
    <xf numFmtId="0" fontId="1" fillId="2" borderId="0" xfId="0" applyFont="1" applyFill="1" applyAlignment="1">
      <alignment horizontal="left" vertical="center"/>
    </xf>
    <xf numFmtId="0" fontId="0" fillId="0" borderId="13" xfId="0" applyBorder="1" applyAlignment="1">
      <alignment horizontal="center" wrapText="1"/>
    </xf>
    <xf numFmtId="0" fontId="4" fillId="12" borderId="0" xfId="0" applyFont="1" applyFill="1" applyAlignment="1">
      <alignment horizontal="left" vertical="center" wrapText="1"/>
    </xf>
    <xf numFmtId="0" fontId="3" fillId="6" borderId="10" xfId="0" applyFont="1" applyFill="1" applyBorder="1" applyAlignment="1">
      <alignment horizontal="center" vertical="center"/>
    </xf>
    <xf numFmtId="0" fontId="3" fillId="6" borderId="11" xfId="0" applyFont="1" applyFill="1" applyBorder="1" applyAlignment="1">
      <alignment horizontal="center" vertical="center"/>
    </xf>
    <xf numFmtId="0" fontId="29" fillId="0" borderId="2" xfId="0" applyFont="1" applyBorder="1" applyAlignment="1">
      <alignment horizontal="left" vertical="top" wrapText="1"/>
    </xf>
    <xf numFmtId="0" fontId="29" fillId="0" borderId="2" xfId="0" applyFont="1" applyBorder="1" applyAlignment="1">
      <alignment horizontal="left" vertical="center"/>
    </xf>
  </cellXfs>
  <cellStyles count="3">
    <cellStyle name="Accent2" xfId="2" builtinId="33"/>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2EFDA"/>
      <rgbColor rgb="FF000080"/>
      <rgbColor rgb="FFFF00FF"/>
      <rgbColor rgb="FFFFFF00"/>
      <rgbColor rgb="FF00FFFF"/>
      <rgbColor rgb="FF800080"/>
      <rgbColor rgb="FF800000"/>
      <rgbColor rgb="FF008080"/>
      <rgbColor rgb="FF0000FF"/>
      <rgbColor rgb="FF00CCFF"/>
      <rgbColor rgb="FFEAF0FB"/>
      <rgbColor rgb="FFD9F2D0"/>
      <rgbColor rgb="FFFCE4D6"/>
      <rgbColor rgb="FFF2F2F2"/>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image002.png@01DD1E54.2B4D3830" TargetMode="External"/><Relationship Id="rId1"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384807</xdr:colOff>
      <xdr:row>92</xdr:row>
      <xdr:rowOff>748665</xdr:rowOff>
    </xdr:from>
    <xdr:to>
      <xdr:col>12</xdr:col>
      <xdr:colOff>920112</xdr:colOff>
      <xdr:row>98</xdr:row>
      <xdr:rowOff>75988</xdr:rowOff>
    </xdr:to>
    <xdr:pic>
      <xdr:nvPicPr>
        <xdr:cNvPr id="4" name="Picture 3">
          <a:extLst>
            <a:ext uri="{FF2B5EF4-FFF2-40B4-BE49-F238E27FC236}">
              <a16:creationId xmlns:a16="http://schemas.microsoft.com/office/drawing/2014/main" id="{73089A7E-6D0C-3B1C-D4CB-B24A503706A4}"/>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7687307" y="30741832"/>
          <a:ext cx="8970222" cy="17085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1610571</xdr:colOff>
      <xdr:row>75</xdr:row>
      <xdr:rowOff>108817</xdr:rowOff>
    </xdr:from>
    <xdr:to>
      <xdr:col>12</xdr:col>
      <xdr:colOff>1047825</xdr:colOff>
      <xdr:row>89</xdr:row>
      <xdr:rowOff>97215</xdr:rowOff>
    </xdr:to>
    <xdr:pic>
      <xdr:nvPicPr>
        <xdr:cNvPr id="6" name="Picture 5">
          <a:extLst>
            <a:ext uri="{FF2B5EF4-FFF2-40B4-BE49-F238E27FC236}">
              <a16:creationId xmlns:a16="http://schemas.microsoft.com/office/drawing/2014/main" id="{090C42F0-FF49-4E3D-E499-DF914D38E6BB}"/>
            </a:ext>
          </a:extLst>
        </xdr:cNvPr>
        <xdr:cNvPicPr>
          <a:picLocks noChangeAspect="1"/>
        </xdr:cNvPicPr>
      </xdr:nvPicPr>
      <xdr:blipFill>
        <a:blip xmlns:r="http://schemas.openxmlformats.org/officeDocument/2006/relationships" r:embed="rId3"/>
        <a:stretch>
          <a:fillRect/>
        </a:stretch>
      </xdr:blipFill>
      <xdr:spPr>
        <a:xfrm>
          <a:off x="8913071" y="22302067"/>
          <a:ext cx="7858836" cy="3747175"/>
        </a:xfrm>
        <a:prstGeom prst="rect">
          <a:avLst/>
        </a:prstGeom>
      </xdr:spPr>
    </xdr:pic>
    <xdr:clientData/>
  </xdr:twoCellAnchor>
  <xdr:twoCellAnchor editAs="oneCell">
    <xdr:from>
      <xdr:col>4</xdr:col>
      <xdr:colOff>253868</xdr:colOff>
      <xdr:row>90</xdr:row>
      <xdr:rowOff>906357</xdr:rowOff>
    </xdr:from>
    <xdr:to>
      <xdr:col>12</xdr:col>
      <xdr:colOff>16252</xdr:colOff>
      <xdr:row>92</xdr:row>
      <xdr:rowOff>379094</xdr:rowOff>
    </xdr:to>
    <xdr:pic>
      <xdr:nvPicPr>
        <xdr:cNvPr id="7" name="Picture 6">
          <a:extLst>
            <a:ext uri="{FF2B5EF4-FFF2-40B4-BE49-F238E27FC236}">
              <a16:creationId xmlns:a16="http://schemas.microsoft.com/office/drawing/2014/main" id="{CDEF3C46-046C-76ED-FC2F-BC518502DBED}"/>
            </a:ext>
          </a:extLst>
        </xdr:cNvPr>
        <xdr:cNvPicPr>
          <a:picLocks noChangeAspect="1"/>
        </xdr:cNvPicPr>
      </xdr:nvPicPr>
      <xdr:blipFill>
        <a:blip xmlns:r="http://schemas.openxmlformats.org/officeDocument/2006/relationships" r:embed="rId4"/>
        <a:stretch>
          <a:fillRect/>
        </a:stretch>
      </xdr:blipFill>
      <xdr:spPr>
        <a:xfrm>
          <a:off x="7556368" y="28888690"/>
          <a:ext cx="8193491" cy="1483571"/>
        </a:xfrm>
        <a:prstGeom prst="rect">
          <a:avLst/>
        </a:prstGeom>
      </xdr:spPr>
    </xdr:pic>
    <xdr:clientData/>
  </xdr:twoCellAnchor>
  <xdr:twoCellAnchor editAs="oneCell">
    <xdr:from>
      <xdr:col>12</xdr:col>
      <xdr:colOff>476250</xdr:colOff>
      <xdr:row>90</xdr:row>
      <xdr:rowOff>878417</xdr:rowOff>
    </xdr:from>
    <xdr:to>
      <xdr:col>34</xdr:col>
      <xdr:colOff>532286</xdr:colOff>
      <xdr:row>92</xdr:row>
      <xdr:rowOff>288836</xdr:rowOff>
    </xdr:to>
    <xdr:pic>
      <xdr:nvPicPr>
        <xdr:cNvPr id="8" name="Picture 7">
          <a:extLst>
            <a:ext uri="{FF2B5EF4-FFF2-40B4-BE49-F238E27FC236}">
              <a16:creationId xmlns:a16="http://schemas.microsoft.com/office/drawing/2014/main" id="{2202762F-3679-31AF-58A9-BA238B9C132B}"/>
            </a:ext>
          </a:extLst>
        </xdr:cNvPr>
        <xdr:cNvPicPr>
          <a:picLocks noChangeAspect="1"/>
        </xdr:cNvPicPr>
      </xdr:nvPicPr>
      <xdr:blipFill>
        <a:blip xmlns:r="http://schemas.openxmlformats.org/officeDocument/2006/relationships" r:embed="rId5"/>
        <a:stretch>
          <a:fillRect/>
        </a:stretch>
      </xdr:blipFill>
      <xdr:spPr>
        <a:xfrm>
          <a:off x="16213667" y="28860750"/>
          <a:ext cx="14004869" cy="14250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329565</xdr:colOff>
      <xdr:row>9</xdr:row>
      <xdr:rowOff>152400</xdr:rowOff>
    </xdr:from>
    <xdr:to>
      <xdr:col>36</xdr:col>
      <xdr:colOff>78977</xdr:colOff>
      <xdr:row>32</xdr:row>
      <xdr:rowOff>131445</xdr:rowOff>
    </xdr:to>
    <xdr:pic>
      <xdr:nvPicPr>
        <xdr:cNvPr id="2" name="Picture 1">
          <a:extLst>
            <a:ext uri="{FF2B5EF4-FFF2-40B4-BE49-F238E27FC236}">
              <a16:creationId xmlns:a16="http://schemas.microsoft.com/office/drawing/2014/main" id="{171C836F-C4F3-7559-94FD-295ED65E562E}"/>
            </a:ext>
          </a:extLst>
        </xdr:cNvPr>
        <xdr:cNvPicPr>
          <a:picLocks noChangeAspect="1"/>
        </xdr:cNvPicPr>
      </xdr:nvPicPr>
      <xdr:blipFill>
        <a:blip xmlns:r="http://schemas.openxmlformats.org/officeDocument/2006/relationships" r:embed="rId1"/>
        <a:stretch>
          <a:fillRect/>
        </a:stretch>
      </xdr:blipFill>
      <xdr:spPr>
        <a:xfrm>
          <a:off x="9759315" y="1781175"/>
          <a:ext cx="12551012" cy="4141470"/>
        </a:xfrm>
        <a:prstGeom prst="rect">
          <a:avLst/>
        </a:prstGeom>
      </xdr:spPr>
    </xdr:pic>
    <xdr:clientData/>
  </xdr:twoCellAnchor>
  <xdr:twoCellAnchor>
    <xdr:from>
      <xdr:col>0</xdr:col>
      <xdr:colOff>0</xdr:colOff>
      <xdr:row>84</xdr:row>
      <xdr:rowOff>104774</xdr:rowOff>
    </xdr:from>
    <xdr:to>
      <xdr:col>17</xdr:col>
      <xdr:colOff>89535</xdr:colOff>
      <xdr:row>109</xdr:row>
      <xdr:rowOff>152588</xdr:rowOff>
    </xdr:to>
    <xdr:pic>
      <xdr:nvPicPr>
        <xdr:cNvPr id="7" name="Picture 6">
          <a:extLst>
            <a:ext uri="{FF2B5EF4-FFF2-40B4-BE49-F238E27FC236}">
              <a16:creationId xmlns:a16="http://schemas.microsoft.com/office/drawing/2014/main" id="{FE9B78BB-D799-14EA-7E69-77A09726F82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5125699"/>
          <a:ext cx="10738485" cy="45721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38101</xdr:colOff>
      <xdr:row>10</xdr:row>
      <xdr:rowOff>123825</xdr:rowOff>
    </xdr:from>
    <xdr:to>
      <xdr:col>14</xdr:col>
      <xdr:colOff>533401</xdr:colOff>
      <xdr:row>33</xdr:row>
      <xdr:rowOff>34870</xdr:rowOff>
    </xdr:to>
    <xdr:pic>
      <xdr:nvPicPr>
        <xdr:cNvPr id="8" name="Picture 1">
          <a:extLst>
            <a:ext uri="{FF2B5EF4-FFF2-40B4-BE49-F238E27FC236}">
              <a16:creationId xmlns:a16="http://schemas.microsoft.com/office/drawing/2014/main" id="{FD686584-6019-0F82-9CB1-0DB41474AA9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8101" y="1933575"/>
          <a:ext cx="9315450" cy="4073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hyperlink" Target="https://lovable.dev/projects/8385ee0b-effd-4a8f-8cb9-27477a3fccf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showGridLines="0" zoomScaleNormal="100" workbookViewId="0">
      <selection sqref="A1:F1"/>
    </sheetView>
  </sheetViews>
  <sheetFormatPr defaultColWidth="8.6640625" defaultRowHeight="14.4" x14ac:dyDescent="0.3"/>
  <cols>
    <col min="1" max="1" width="42.33203125" customWidth="1"/>
    <col min="2" max="6" width="20" customWidth="1"/>
  </cols>
  <sheetData>
    <row r="1" spans="1:6" ht="30" customHeight="1" x14ac:dyDescent="0.3">
      <c r="A1" s="144" t="s">
        <v>0</v>
      </c>
      <c r="B1" s="144"/>
      <c r="C1" s="144"/>
      <c r="D1" s="144"/>
      <c r="E1" s="144"/>
      <c r="F1" s="144"/>
    </row>
    <row r="2" spans="1:6" x14ac:dyDescent="0.3">
      <c r="A2" s="1"/>
      <c r="B2" s="143"/>
      <c r="C2" s="143"/>
      <c r="D2" s="143"/>
      <c r="E2" s="143"/>
      <c r="F2" s="143"/>
    </row>
    <row r="3" spans="1:6" ht="43.5" customHeight="1" x14ac:dyDescent="0.3">
      <c r="A3" s="1" t="s">
        <v>1</v>
      </c>
      <c r="B3" s="143" t="s">
        <v>2</v>
      </c>
      <c r="C3" s="143"/>
      <c r="D3" s="143"/>
      <c r="E3" s="143"/>
      <c r="F3" s="143"/>
    </row>
    <row r="4" spans="1:6" ht="43.5" customHeight="1" x14ac:dyDescent="0.3">
      <c r="A4" s="1" t="s">
        <v>3</v>
      </c>
      <c r="B4" s="143" t="s">
        <v>4</v>
      </c>
      <c r="C4" s="143"/>
      <c r="D4" s="143"/>
      <c r="E4" s="143"/>
      <c r="F4" s="143"/>
    </row>
    <row r="5" spans="1:6" x14ac:dyDescent="0.3">
      <c r="A5" s="1"/>
      <c r="B5" s="143"/>
      <c r="C5" s="143"/>
      <c r="D5" s="143"/>
      <c r="E5" s="143"/>
      <c r="F5" s="143"/>
    </row>
    <row r="6" spans="1:6" x14ac:dyDescent="0.3">
      <c r="A6" s="1" t="s">
        <v>5</v>
      </c>
      <c r="B6" s="143"/>
      <c r="C6" s="143"/>
      <c r="D6" s="143"/>
      <c r="E6" s="143"/>
      <c r="F6" s="143"/>
    </row>
    <row r="7" spans="1:6" ht="43.5" customHeight="1" x14ac:dyDescent="0.3">
      <c r="A7" s="1" t="s">
        <v>6</v>
      </c>
      <c r="B7" s="143" t="s">
        <v>7</v>
      </c>
      <c r="C7" s="143"/>
      <c r="D7" s="143"/>
      <c r="E7" s="143"/>
      <c r="F7" s="143"/>
    </row>
    <row r="8" spans="1:6" ht="43.5" customHeight="1" x14ac:dyDescent="0.3">
      <c r="A8" s="1" t="s">
        <v>8</v>
      </c>
      <c r="B8" s="143" t="s">
        <v>9</v>
      </c>
      <c r="C8" s="143"/>
      <c r="D8" s="143"/>
      <c r="E8" s="143"/>
      <c r="F8" s="143"/>
    </row>
    <row r="9" spans="1:6" ht="35.1" customHeight="1" x14ac:dyDescent="0.3">
      <c r="A9" s="1" t="s">
        <v>10</v>
      </c>
      <c r="B9" s="143" t="s">
        <v>11</v>
      </c>
      <c r="C9" s="143"/>
      <c r="D9" s="143"/>
      <c r="E9" s="143"/>
      <c r="F9" s="143"/>
    </row>
    <row r="10" spans="1:6" x14ac:dyDescent="0.3">
      <c r="A10" s="1"/>
      <c r="B10" s="143"/>
      <c r="C10" s="143"/>
      <c r="D10" s="143"/>
      <c r="E10" s="143"/>
      <c r="F10" s="143"/>
    </row>
    <row r="11" spans="1:6" x14ac:dyDescent="0.3">
      <c r="A11" s="1" t="s">
        <v>12</v>
      </c>
      <c r="B11" s="143"/>
      <c r="C11" s="143"/>
      <c r="D11" s="143"/>
      <c r="E11" s="143"/>
      <c r="F11" s="143"/>
    </row>
    <row r="12" spans="1:6" ht="43.5" customHeight="1" x14ac:dyDescent="0.3">
      <c r="A12" s="1" t="s">
        <v>13</v>
      </c>
      <c r="B12" s="143" t="s">
        <v>14</v>
      </c>
      <c r="C12" s="143"/>
      <c r="D12" s="143"/>
      <c r="E12" s="143"/>
      <c r="F12" s="143"/>
    </row>
    <row r="13" spans="1:6" ht="43.5" customHeight="1" x14ac:dyDescent="0.3">
      <c r="A13" s="1" t="s">
        <v>15</v>
      </c>
      <c r="B13" s="143" t="s">
        <v>16</v>
      </c>
      <c r="C13" s="143"/>
      <c r="D13" s="143"/>
      <c r="E13" s="143"/>
      <c r="F13" s="143"/>
    </row>
    <row r="14" spans="1:6" ht="43.5" customHeight="1" x14ac:dyDescent="0.3">
      <c r="A14" s="1" t="s">
        <v>17</v>
      </c>
      <c r="B14" s="143" t="s">
        <v>18</v>
      </c>
      <c r="C14" s="143"/>
      <c r="D14" s="143"/>
      <c r="E14" s="143"/>
      <c r="F14" s="143"/>
    </row>
    <row r="15" spans="1:6" ht="15" customHeight="1" x14ac:dyDescent="0.3">
      <c r="A15" s="1" t="s">
        <v>19</v>
      </c>
      <c r="B15" s="143" t="s">
        <v>20</v>
      </c>
      <c r="C15" s="143"/>
      <c r="D15" s="143"/>
      <c r="E15" s="143"/>
      <c r="F15" s="143"/>
    </row>
    <row r="16" spans="1:6" ht="43.5" customHeight="1" x14ac:dyDescent="0.3">
      <c r="A16" s="1" t="s">
        <v>21</v>
      </c>
      <c r="B16" s="143" t="s">
        <v>22</v>
      </c>
      <c r="C16" s="143"/>
      <c r="D16" s="143"/>
      <c r="E16" s="143"/>
      <c r="F16" s="143"/>
    </row>
  </sheetData>
  <mergeCells count="16">
    <mergeCell ref="A1:F1"/>
    <mergeCell ref="B2:F2"/>
    <mergeCell ref="B3:F3"/>
    <mergeCell ref="B4:F4"/>
    <mergeCell ref="B5:F5"/>
    <mergeCell ref="B6:F6"/>
    <mergeCell ref="B7:F7"/>
    <mergeCell ref="B8:F8"/>
    <mergeCell ref="B9:F9"/>
    <mergeCell ref="B10:F10"/>
    <mergeCell ref="B16:F16"/>
    <mergeCell ref="B11:F11"/>
    <mergeCell ref="B12:F12"/>
    <mergeCell ref="B13:F13"/>
    <mergeCell ref="B14:F14"/>
    <mergeCell ref="B15:F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2"/>
  <sheetViews>
    <sheetView showGridLines="0" zoomScaleNormal="100" workbookViewId="0">
      <pane ySplit="3" topLeftCell="A4" activePane="bottomLeft" state="frozen"/>
      <selection pane="bottomLeft" activeCell="D3" sqref="D3:H3"/>
    </sheetView>
  </sheetViews>
  <sheetFormatPr defaultColWidth="8.6640625" defaultRowHeight="14.4" x14ac:dyDescent="0.3"/>
  <cols>
    <col min="1" max="1" width="18" customWidth="1"/>
    <col min="2" max="2" width="30" customWidth="1"/>
    <col min="3" max="3" width="8" customWidth="1"/>
    <col min="4" max="4" width="9" customWidth="1"/>
    <col min="5" max="5" width="11" customWidth="1"/>
    <col min="6" max="6" width="10" customWidth="1"/>
    <col min="7" max="7" width="13" customWidth="1"/>
    <col min="8" max="8" width="10" customWidth="1"/>
    <col min="9" max="9" width="9" customWidth="1"/>
    <col min="10" max="10" width="8" customWidth="1"/>
    <col min="11" max="11" width="9" customWidth="1"/>
    <col min="12" max="12" width="8" customWidth="1"/>
    <col min="13" max="14" width="7" customWidth="1"/>
  </cols>
  <sheetData>
    <row r="1" spans="1:14" ht="25.5" customHeight="1" x14ac:dyDescent="0.3">
      <c r="A1" s="144" t="s">
        <v>23</v>
      </c>
      <c r="B1" s="144"/>
      <c r="C1" s="144"/>
      <c r="D1" s="144"/>
      <c r="E1" s="144"/>
      <c r="F1" s="144"/>
      <c r="G1" s="144"/>
      <c r="H1" s="144"/>
      <c r="I1" s="144"/>
      <c r="J1" s="144"/>
      <c r="K1" s="144"/>
      <c r="L1" s="144"/>
      <c r="M1" s="144"/>
    </row>
    <row r="3" spans="1:14" x14ac:dyDescent="0.3">
      <c r="A3" s="2" t="s">
        <v>24</v>
      </c>
      <c r="B3" s="2" t="s">
        <v>25</v>
      </c>
      <c r="C3" s="2" t="s">
        <v>26</v>
      </c>
      <c r="D3" s="2" t="s">
        <v>27</v>
      </c>
      <c r="E3" s="2" t="s">
        <v>28</v>
      </c>
      <c r="F3" s="2" t="s">
        <v>29</v>
      </c>
      <c r="G3" s="2" t="s">
        <v>30</v>
      </c>
      <c r="H3" s="2" t="s">
        <v>31</v>
      </c>
      <c r="I3" s="2" t="s">
        <v>32</v>
      </c>
      <c r="J3" s="2" t="s">
        <v>33</v>
      </c>
      <c r="K3" s="2" t="s">
        <v>34</v>
      </c>
      <c r="L3" s="2" t="s">
        <v>35</v>
      </c>
      <c r="M3" s="2" t="s">
        <v>36</v>
      </c>
      <c r="N3" s="2" t="s">
        <v>37</v>
      </c>
    </row>
    <row r="4" spans="1:14" x14ac:dyDescent="0.3">
      <c r="A4" s="3" t="s">
        <v>38</v>
      </c>
      <c r="B4" s="4" t="s">
        <v>39</v>
      </c>
      <c r="C4" s="5">
        <f>COUNTIFS('All Tickets (Master)'!$D$2:$D$227,$A4,'All Tickets (Master)'!$E$2:$E$227,$B4)</f>
        <v>6</v>
      </c>
      <c r="D4" s="5">
        <f>COUNTIFS('All Tickets (Master)'!$D$2:$D$227,$A4,'All Tickets (Master)'!$E$2:$E$227,$B4,'All Tickets (Master)'!$H$2:$H$227,"Backlog")</f>
        <v>5</v>
      </c>
      <c r="E4" s="5">
        <f>COUNTIFS('All Tickets (Master)'!$D$2:$D$227,$A4,'All Tickets (Master)'!$E$2:$E$227,$B4,'All Tickets (Master)'!$H$2:$H$227,"In Progress")</f>
        <v>1</v>
      </c>
      <c r="F4" s="5">
        <f>COUNTIFS('All Tickets (Master)'!$D$2:$D$227,$A4,'All Tickets (Master)'!$E$2:$E$227,$B4,'All Tickets (Master)'!$H$2:$H$227,"In Staging")</f>
        <v>0</v>
      </c>
      <c r="G4" s="5">
        <f>COUNTIFS('All Tickets (Master)'!$D$2:$D$227,$A4,'All Tickets (Master)'!$E$2:$E$227,$B4,'All Tickets (Master)'!$H$2:$H$227,"Ready for Production")</f>
        <v>0</v>
      </c>
      <c r="H4" s="5">
        <f>COUNTIFS('All Tickets (Master)'!$D$2:$D$227,$A4,'All Tickets (Master)'!$E$2:$E$227,$B4,'All Tickets (Master)'!$H$2:$H$227,"Reopened")</f>
        <v>0</v>
      </c>
      <c r="I4" s="5">
        <f>COUNTIFS('All Tickets (Master)'!$D$2:$D$227,$A4,'All Tickets (Master)'!$E$2:$E$227,$B4,'All Tickets (Master)'!$G$2:$G$227,"Highest")</f>
        <v>0</v>
      </c>
      <c r="J4" s="5">
        <f>COUNTIFS('All Tickets (Master)'!$D$2:$D$227,$A4,'All Tickets (Master)'!$E$2:$E$227,$B4,'All Tickets (Master)'!$G$2:$G$227,"High")</f>
        <v>6</v>
      </c>
      <c r="K4" s="5">
        <f>COUNTIFS('All Tickets (Master)'!$D$2:$D$227,$A4,'All Tickets (Master)'!$E$2:$E$227,$B4,'All Tickets (Master)'!$G$2:$G$227,"Medium")</f>
        <v>0</v>
      </c>
      <c r="L4" s="5">
        <f>COUNTIFS('All Tickets (Master)'!$D$2:$D$227,$A4,'All Tickets (Master)'!$E$2:$E$227,$B4,'All Tickets (Master)'!$G$2:$G$227,"Low")</f>
        <v>0</v>
      </c>
      <c r="M4" s="5">
        <f>COUNTIFS('All Tickets (Master)'!$D$2:$D$227,$A4,'All Tickets (Master)'!$E$2:$E$227,$B4,'All Tickets (Master)'!$F$2:$F$227,"FE")</f>
        <v>0</v>
      </c>
      <c r="N4" s="5">
        <f>COUNTIFS('All Tickets (Master)'!$D$2:$D$227,$A4,'All Tickets (Master)'!$E$2:$E$227,$B4,'All Tickets (Master)'!$F$2:$F$227,"BE")</f>
        <v>1</v>
      </c>
    </row>
    <row r="5" spans="1:14" x14ac:dyDescent="0.3">
      <c r="A5" s="6" t="s">
        <v>38</v>
      </c>
      <c r="B5" s="7" t="s">
        <v>40</v>
      </c>
      <c r="C5" s="8">
        <f>COUNTIFS('All Tickets (Master)'!$D$2:$D$227,$A5,'All Tickets (Master)'!$E$2:$E$227,$B5)</f>
        <v>5</v>
      </c>
      <c r="D5" s="8">
        <f>COUNTIFS('All Tickets (Master)'!$D$2:$D$227,$A5,'All Tickets (Master)'!$E$2:$E$227,$B5,'All Tickets (Master)'!$H$2:$H$227,"Backlog")</f>
        <v>5</v>
      </c>
      <c r="E5" s="8">
        <f>COUNTIFS('All Tickets (Master)'!$D$2:$D$227,$A5,'All Tickets (Master)'!$E$2:$E$227,$B5,'All Tickets (Master)'!$H$2:$H$227,"In Progress")</f>
        <v>0</v>
      </c>
      <c r="F5" s="8">
        <f>COUNTIFS('All Tickets (Master)'!$D$2:$D$227,$A5,'All Tickets (Master)'!$E$2:$E$227,$B5,'All Tickets (Master)'!$H$2:$H$227,"In Staging")</f>
        <v>0</v>
      </c>
      <c r="G5" s="8">
        <f>COUNTIFS('All Tickets (Master)'!$D$2:$D$227,$A5,'All Tickets (Master)'!$E$2:$E$227,$B5,'All Tickets (Master)'!$H$2:$H$227,"Ready for Production")</f>
        <v>0</v>
      </c>
      <c r="H5" s="8">
        <f>COUNTIFS('All Tickets (Master)'!$D$2:$D$227,$A5,'All Tickets (Master)'!$E$2:$E$227,$B5,'All Tickets (Master)'!$H$2:$H$227,"Reopened")</f>
        <v>0</v>
      </c>
      <c r="I5" s="8">
        <f>COUNTIFS('All Tickets (Master)'!$D$2:$D$227,$A5,'All Tickets (Master)'!$E$2:$E$227,$B5,'All Tickets (Master)'!$G$2:$G$227,"Highest")</f>
        <v>0</v>
      </c>
      <c r="J5" s="8">
        <f>COUNTIFS('All Tickets (Master)'!$D$2:$D$227,$A5,'All Tickets (Master)'!$E$2:$E$227,$B5,'All Tickets (Master)'!$G$2:$G$227,"High")</f>
        <v>3</v>
      </c>
      <c r="K5" s="8">
        <f>COUNTIFS('All Tickets (Master)'!$D$2:$D$227,$A5,'All Tickets (Master)'!$E$2:$E$227,$B5,'All Tickets (Master)'!$G$2:$G$227,"Medium")</f>
        <v>1</v>
      </c>
      <c r="L5" s="8">
        <f>COUNTIFS('All Tickets (Master)'!$D$2:$D$227,$A5,'All Tickets (Master)'!$E$2:$E$227,$B5,'All Tickets (Master)'!$G$2:$G$227,"Low")</f>
        <v>1</v>
      </c>
      <c r="M5" s="8">
        <f>COUNTIFS('All Tickets (Master)'!$D$2:$D$227,$A5,'All Tickets (Master)'!$E$2:$E$227,$B5,'All Tickets (Master)'!$F$2:$F$227,"FE")</f>
        <v>0</v>
      </c>
      <c r="N5" s="8">
        <f>COUNTIFS('All Tickets (Master)'!$D$2:$D$227,$A5,'All Tickets (Master)'!$E$2:$E$227,$B5,'All Tickets (Master)'!$F$2:$F$227,"BE")</f>
        <v>2</v>
      </c>
    </row>
    <row r="6" spans="1:14" x14ac:dyDescent="0.3">
      <c r="A6" s="3" t="s">
        <v>38</v>
      </c>
      <c r="B6" s="4" t="s">
        <v>13</v>
      </c>
      <c r="C6" s="5">
        <f>COUNTIFS('All Tickets (Master)'!$D$2:$D$227,$A6,'All Tickets (Master)'!$E$2:$E$227,$B6)</f>
        <v>11</v>
      </c>
      <c r="D6" s="5">
        <f>COUNTIFS('All Tickets (Master)'!$D$2:$D$227,$A6,'All Tickets (Master)'!$E$2:$E$227,$B6,'All Tickets (Master)'!$H$2:$H$227,"Backlog")</f>
        <v>9</v>
      </c>
      <c r="E6" s="5">
        <f>COUNTIFS('All Tickets (Master)'!$D$2:$D$227,$A6,'All Tickets (Master)'!$E$2:$E$227,$B6,'All Tickets (Master)'!$H$2:$H$227,"In Progress")</f>
        <v>1</v>
      </c>
      <c r="F6" s="5">
        <f>COUNTIFS('All Tickets (Master)'!$D$2:$D$227,$A6,'All Tickets (Master)'!$E$2:$E$227,$B6,'All Tickets (Master)'!$H$2:$H$227,"In Staging")</f>
        <v>0</v>
      </c>
      <c r="G6" s="5">
        <f>COUNTIFS('All Tickets (Master)'!$D$2:$D$227,$A6,'All Tickets (Master)'!$E$2:$E$227,$B6,'All Tickets (Master)'!$H$2:$H$227,"Ready for Production")</f>
        <v>0</v>
      </c>
      <c r="H6" s="5">
        <f>COUNTIFS('All Tickets (Master)'!$D$2:$D$227,$A6,'All Tickets (Master)'!$E$2:$E$227,$B6,'All Tickets (Master)'!$H$2:$H$227,"Reopened")</f>
        <v>1</v>
      </c>
      <c r="I6" s="5">
        <f>COUNTIFS('All Tickets (Master)'!$D$2:$D$227,$A6,'All Tickets (Master)'!$E$2:$E$227,$B6,'All Tickets (Master)'!$G$2:$G$227,"Highest")</f>
        <v>1</v>
      </c>
      <c r="J6" s="5">
        <f>COUNTIFS('All Tickets (Master)'!$D$2:$D$227,$A6,'All Tickets (Master)'!$E$2:$E$227,$B6,'All Tickets (Master)'!$G$2:$G$227,"High")</f>
        <v>10</v>
      </c>
      <c r="K6" s="5">
        <f>COUNTIFS('All Tickets (Master)'!$D$2:$D$227,$A6,'All Tickets (Master)'!$E$2:$E$227,$B6,'All Tickets (Master)'!$G$2:$G$227,"Medium")</f>
        <v>0</v>
      </c>
      <c r="L6" s="5">
        <f>COUNTIFS('All Tickets (Master)'!$D$2:$D$227,$A6,'All Tickets (Master)'!$E$2:$E$227,$B6,'All Tickets (Master)'!$G$2:$G$227,"Low")</f>
        <v>0</v>
      </c>
      <c r="M6" s="5">
        <f>COUNTIFS('All Tickets (Master)'!$D$2:$D$227,$A6,'All Tickets (Master)'!$E$2:$E$227,$B6,'All Tickets (Master)'!$F$2:$F$227,"FE")</f>
        <v>0</v>
      </c>
      <c r="N6" s="5">
        <f>COUNTIFS('All Tickets (Master)'!$D$2:$D$227,$A6,'All Tickets (Master)'!$E$2:$E$227,$B6,'All Tickets (Master)'!$F$2:$F$227,"BE")</f>
        <v>0</v>
      </c>
    </row>
    <row r="7" spans="1:14" x14ac:dyDescent="0.3">
      <c r="A7" s="6" t="s">
        <v>38</v>
      </c>
      <c r="B7" s="7" t="s">
        <v>41</v>
      </c>
      <c r="C7" s="8">
        <f>COUNTIFS('All Tickets (Master)'!$D$2:$D$227,$A7,'All Tickets (Master)'!$E$2:$E$227,$B7)</f>
        <v>4</v>
      </c>
      <c r="D7" s="8">
        <f>COUNTIFS('All Tickets (Master)'!$D$2:$D$227,$A7,'All Tickets (Master)'!$E$2:$E$227,$B7,'All Tickets (Master)'!$H$2:$H$227,"Backlog")</f>
        <v>4</v>
      </c>
      <c r="E7" s="8">
        <f>COUNTIFS('All Tickets (Master)'!$D$2:$D$227,$A7,'All Tickets (Master)'!$E$2:$E$227,$B7,'All Tickets (Master)'!$H$2:$H$227,"In Progress")</f>
        <v>0</v>
      </c>
      <c r="F7" s="8">
        <f>COUNTIFS('All Tickets (Master)'!$D$2:$D$227,$A7,'All Tickets (Master)'!$E$2:$E$227,$B7,'All Tickets (Master)'!$H$2:$H$227,"In Staging")</f>
        <v>0</v>
      </c>
      <c r="G7" s="8">
        <f>COUNTIFS('All Tickets (Master)'!$D$2:$D$227,$A7,'All Tickets (Master)'!$E$2:$E$227,$B7,'All Tickets (Master)'!$H$2:$H$227,"Ready for Production")</f>
        <v>0</v>
      </c>
      <c r="H7" s="8">
        <f>COUNTIFS('All Tickets (Master)'!$D$2:$D$227,$A7,'All Tickets (Master)'!$E$2:$E$227,$B7,'All Tickets (Master)'!$H$2:$H$227,"Reopened")</f>
        <v>0</v>
      </c>
      <c r="I7" s="8">
        <f>COUNTIFS('All Tickets (Master)'!$D$2:$D$227,$A7,'All Tickets (Master)'!$E$2:$E$227,$B7,'All Tickets (Master)'!$G$2:$G$227,"Highest")</f>
        <v>1</v>
      </c>
      <c r="J7" s="8">
        <f>COUNTIFS('All Tickets (Master)'!$D$2:$D$227,$A7,'All Tickets (Master)'!$E$2:$E$227,$B7,'All Tickets (Master)'!$G$2:$G$227,"High")</f>
        <v>3</v>
      </c>
      <c r="K7" s="8">
        <f>COUNTIFS('All Tickets (Master)'!$D$2:$D$227,$A7,'All Tickets (Master)'!$E$2:$E$227,$B7,'All Tickets (Master)'!$G$2:$G$227,"Medium")</f>
        <v>0</v>
      </c>
      <c r="L7" s="8">
        <f>COUNTIFS('All Tickets (Master)'!$D$2:$D$227,$A7,'All Tickets (Master)'!$E$2:$E$227,$B7,'All Tickets (Master)'!$G$2:$G$227,"Low")</f>
        <v>0</v>
      </c>
      <c r="M7" s="8">
        <f>COUNTIFS('All Tickets (Master)'!$D$2:$D$227,$A7,'All Tickets (Master)'!$E$2:$E$227,$B7,'All Tickets (Master)'!$F$2:$F$227,"FE")</f>
        <v>0</v>
      </c>
      <c r="N7" s="8">
        <f>COUNTIFS('All Tickets (Master)'!$D$2:$D$227,$A7,'All Tickets (Master)'!$E$2:$E$227,$B7,'All Tickets (Master)'!$F$2:$F$227,"BE")</f>
        <v>0</v>
      </c>
    </row>
    <row r="8" spans="1:14" x14ac:dyDescent="0.3">
      <c r="A8" s="3" t="s">
        <v>38</v>
      </c>
      <c r="B8" s="4" t="s">
        <v>42</v>
      </c>
      <c r="C8" s="5">
        <f>COUNTIFS('All Tickets (Master)'!$D$2:$D$227,$A8,'All Tickets (Master)'!$E$2:$E$227,$B8)</f>
        <v>3</v>
      </c>
      <c r="D8" s="5">
        <f>COUNTIFS('All Tickets (Master)'!$D$2:$D$227,$A8,'All Tickets (Master)'!$E$2:$E$227,$B8,'All Tickets (Master)'!$H$2:$H$227,"Backlog")</f>
        <v>3</v>
      </c>
      <c r="E8" s="5">
        <f>COUNTIFS('All Tickets (Master)'!$D$2:$D$227,$A8,'All Tickets (Master)'!$E$2:$E$227,$B8,'All Tickets (Master)'!$H$2:$H$227,"In Progress")</f>
        <v>0</v>
      </c>
      <c r="F8" s="5">
        <f>COUNTIFS('All Tickets (Master)'!$D$2:$D$227,$A8,'All Tickets (Master)'!$E$2:$E$227,$B8,'All Tickets (Master)'!$H$2:$H$227,"In Staging")</f>
        <v>0</v>
      </c>
      <c r="G8" s="5">
        <f>COUNTIFS('All Tickets (Master)'!$D$2:$D$227,$A8,'All Tickets (Master)'!$E$2:$E$227,$B8,'All Tickets (Master)'!$H$2:$H$227,"Ready for Production")</f>
        <v>0</v>
      </c>
      <c r="H8" s="5">
        <f>COUNTIFS('All Tickets (Master)'!$D$2:$D$227,$A8,'All Tickets (Master)'!$E$2:$E$227,$B8,'All Tickets (Master)'!$H$2:$H$227,"Reopened")</f>
        <v>0</v>
      </c>
      <c r="I8" s="5">
        <f>COUNTIFS('All Tickets (Master)'!$D$2:$D$227,$A8,'All Tickets (Master)'!$E$2:$E$227,$B8,'All Tickets (Master)'!$G$2:$G$227,"Highest")</f>
        <v>2</v>
      </c>
      <c r="J8" s="5">
        <f>COUNTIFS('All Tickets (Master)'!$D$2:$D$227,$A8,'All Tickets (Master)'!$E$2:$E$227,$B8,'All Tickets (Master)'!$G$2:$G$227,"High")</f>
        <v>1</v>
      </c>
      <c r="K8" s="5">
        <f>COUNTIFS('All Tickets (Master)'!$D$2:$D$227,$A8,'All Tickets (Master)'!$E$2:$E$227,$B8,'All Tickets (Master)'!$G$2:$G$227,"Medium")</f>
        <v>0</v>
      </c>
      <c r="L8" s="5">
        <f>COUNTIFS('All Tickets (Master)'!$D$2:$D$227,$A8,'All Tickets (Master)'!$E$2:$E$227,$B8,'All Tickets (Master)'!$G$2:$G$227,"Low")</f>
        <v>0</v>
      </c>
      <c r="M8" s="5">
        <f>COUNTIFS('All Tickets (Master)'!$D$2:$D$227,$A8,'All Tickets (Master)'!$E$2:$E$227,$B8,'All Tickets (Master)'!$F$2:$F$227,"FE")</f>
        <v>0</v>
      </c>
      <c r="N8" s="5">
        <f>COUNTIFS('All Tickets (Master)'!$D$2:$D$227,$A8,'All Tickets (Master)'!$E$2:$E$227,$B8,'All Tickets (Master)'!$F$2:$F$227,"BE")</f>
        <v>0</v>
      </c>
    </row>
    <row r="9" spans="1:14" x14ac:dyDescent="0.3">
      <c r="A9" s="6" t="s">
        <v>38</v>
      </c>
      <c r="B9" s="7" t="s">
        <v>43</v>
      </c>
      <c r="C9" s="8">
        <f>COUNTIFS('All Tickets (Master)'!$D$2:$D$227,$A9,'All Tickets (Master)'!$E$2:$E$227,$B9)</f>
        <v>4</v>
      </c>
      <c r="D9" s="8">
        <f>COUNTIFS('All Tickets (Master)'!$D$2:$D$227,$A9,'All Tickets (Master)'!$E$2:$E$227,$B9,'All Tickets (Master)'!$H$2:$H$227,"Backlog")</f>
        <v>4</v>
      </c>
      <c r="E9" s="8">
        <f>COUNTIFS('All Tickets (Master)'!$D$2:$D$227,$A9,'All Tickets (Master)'!$E$2:$E$227,$B9,'All Tickets (Master)'!$H$2:$H$227,"In Progress")</f>
        <v>0</v>
      </c>
      <c r="F9" s="8">
        <f>COUNTIFS('All Tickets (Master)'!$D$2:$D$227,$A9,'All Tickets (Master)'!$E$2:$E$227,$B9,'All Tickets (Master)'!$H$2:$H$227,"In Staging")</f>
        <v>0</v>
      </c>
      <c r="G9" s="8">
        <f>COUNTIFS('All Tickets (Master)'!$D$2:$D$227,$A9,'All Tickets (Master)'!$E$2:$E$227,$B9,'All Tickets (Master)'!$H$2:$H$227,"Ready for Production")</f>
        <v>0</v>
      </c>
      <c r="H9" s="8">
        <f>COUNTIFS('All Tickets (Master)'!$D$2:$D$227,$A9,'All Tickets (Master)'!$E$2:$E$227,$B9,'All Tickets (Master)'!$H$2:$H$227,"Reopened")</f>
        <v>0</v>
      </c>
      <c r="I9" s="8">
        <f>COUNTIFS('All Tickets (Master)'!$D$2:$D$227,$A9,'All Tickets (Master)'!$E$2:$E$227,$B9,'All Tickets (Master)'!$G$2:$G$227,"Highest")</f>
        <v>0</v>
      </c>
      <c r="J9" s="8">
        <f>COUNTIFS('All Tickets (Master)'!$D$2:$D$227,$A9,'All Tickets (Master)'!$E$2:$E$227,$B9,'All Tickets (Master)'!$G$2:$G$227,"High")</f>
        <v>3</v>
      </c>
      <c r="K9" s="8">
        <f>COUNTIFS('All Tickets (Master)'!$D$2:$D$227,$A9,'All Tickets (Master)'!$E$2:$E$227,$B9,'All Tickets (Master)'!$G$2:$G$227,"Medium")</f>
        <v>0</v>
      </c>
      <c r="L9" s="8">
        <f>COUNTIFS('All Tickets (Master)'!$D$2:$D$227,$A9,'All Tickets (Master)'!$E$2:$E$227,$B9,'All Tickets (Master)'!$G$2:$G$227,"Low")</f>
        <v>1</v>
      </c>
      <c r="M9" s="8">
        <f>COUNTIFS('All Tickets (Master)'!$D$2:$D$227,$A9,'All Tickets (Master)'!$E$2:$E$227,$B9,'All Tickets (Master)'!$F$2:$F$227,"FE")</f>
        <v>0</v>
      </c>
      <c r="N9" s="8">
        <f>COUNTIFS('All Tickets (Master)'!$D$2:$D$227,$A9,'All Tickets (Master)'!$E$2:$E$227,$B9,'All Tickets (Master)'!$F$2:$F$227,"BE")</f>
        <v>1</v>
      </c>
    </row>
    <row r="10" spans="1:14" x14ac:dyDescent="0.3">
      <c r="A10" s="3" t="s">
        <v>44</v>
      </c>
      <c r="B10" s="4" t="s">
        <v>45</v>
      </c>
      <c r="C10" s="5">
        <f>COUNTIFS('All Tickets (Master)'!$D$2:$D$227,$A10,'All Tickets (Master)'!$E$2:$E$227,$B10)</f>
        <v>8</v>
      </c>
      <c r="D10" s="5">
        <f>COUNTIFS('All Tickets (Master)'!$D$2:$D$227,$A10,'All Tickets (Master)'!$E$2:$E$227,$B10,'All Tickets (Master)'!$H$2:$H$227,"Backlog")</f>
        <v>5</v>
      </c>
      <c r="E10" s="5">
        <f>COUNTIFS('All Tickets (Master)'!$D$2:$D$227,$A10,'All Tickets (Master)'!$E$2:$E$227,$B10,'All Tickets (Master)'!$H$2:$H$227,"In Progress")</f>
        <v>1</v>
      </c>
      <c r="F10" s="5">
        <f>COUNTIFS('All Tickets (Master)'!$D$2:$D$227,$A10,'All Tickets (Master)'!$E$2:$E$227,$B10,'All Tickets (Master)'!$H$2:$H$227,"In Staging")</f>
        <v>0</v>
      </c>
      <c r="G10" s="5">
        <f>COUNTIFS('All Tickets (Master)'!$D$2:$D$227,$A10,'All Tickets (Master)'!$E$2:$E$227,$B10,'All Tickets (Master)'!$H$2:$H$227,"Ready for Production")</f>
        <v>0</v>
      </c>
      <c r="H10" s="5">
        <f>COUNTIFS('All Tickets (Master)'!$D$2:$D$227,$A10,'All Tickets (Master)'!$E$2:$E$227,$B10,'All Tickets (Master)'!$H$2:$H$227,"Reopened")</f>
        <v>2</v>
      </c>
      <c r="I10" s="5">
        <f>COUNTIFS('All Tickets (Master)'!$D$2:$D$227,$A10,'All Tickets (Master)'!$E$2:$E$227,$B10,'All Tickets (Master)'!$G$2:$G$227,"Highest")</f>
        <v>1</v>
      </c>
      <c r="J10" s="5">
        <f>COUNTIFS('All Tickets (Master)'!$D$2:$D$227,$A10,'All Tickets (Master)'!$E$2:$E$227,$B10,'All Tickets (Master)'!$G$2:$G$227,"High")</f>
        <v>4</v>
      </c>
      <c r="K10" s="5">
        <f>COUNTIFS('All Tickets (Master)'!$D$2:$D$227,$A10,'All Tickets (Master)'!$E$2:$E$227,$B10,'All Tickets (Master)'!$G$2:$G$227,"Medium")</f>
        <v>2</v>
      </c>
      <c r="L10" s="5">
        <f>COUNTIFS('All Tickets (Master)'!$D$2:$D$227,$A10,'All Tickets (Master)'!$E$2:$E$227,$B10,'All Tickets (Master)'!$G$2:$G$227,"Low")</f>
        <v>1</v>
      </c>
      <c r="M10" s="5">
        <f>COUNTIFS('All Tickets (Master)'!$D$2:$D$227,$A10,'All Tickets (Master)'!$E$2:$E$227,$B10,'All Tickets (Master)'!$F$2:$F$227,"FE")</f>
        <v>0</v>
      </c>
      <c r="N10" s="5">
        <f>COUNTIFS('All Tickets (Master)'!$D$2:$D$227,$A10,'All Tickets (Master)'!$E$2:$E$227,$B10,'All Tickets (Master)'!$F$2:$F$227,"BE")</f>
        <v>2</v>
      </c>
    </row>
    <row r="11" spans="1:14" x14ac:dyDescent="0.3">
      <c r="A11" s="6" t="s">
        <v>44</v>
      </c>
      <c r="B11" s="7" t="s">
        <v>46</v>
      </c>
      <c r="C11" s="8">
        <f>COUNTIFS('All Tickets (Master)'!$D$2:$D$227,$A11,'All Tickets (Master)'!$E$2:$E$227,$B11)</f>
        <v>1</v>
      </c>
      <c r="D11" s="8">
        <f>COUNTIFS('All Tickets (Master)'!$D$2:$D$227,$A11,'All Tickets (Master)'!$E$2:$E$227,$B11,'All Tickets (Master)'!$H$2:$H$227,"Backlog")</f>
        <v>0</v>
      </c>
      <c r="E11" s="8">
        <f>COUNTIFS('All Tickets (Master)'!$D$2:$D$227,$A11,'All Tickets (Master)'!$E$2:$E$227,$B11,'All Tickets (Master)'!$H$2:$H$227,"In Progress")</f>
        <v>1</v>
      </c>
      <c r="F11" s="8">
        <f>COUNTIFS('All Tickets (Master)'!$D$2:$D$227,$A11,'All Tickets (Master)'!$E$2:$E$227,$B11,'All Tickets (Master)'!$H$2:$H$227,"In Staging")</f>
        <v>0</v>
      </c>
      <c r="G11" s="8">
        <f>COUNTIFS('All Tickets (Master)'!$D$2:$D$227,$A11,'All Tickets (Master)'!$E$2:$E$227,$B11,'All Tickets (Master)'!$H$2:$H$227,"Ready for Production")</f>
        <v>0</v>
      </c>
      <c r="H11" s="8">
        <f>COUNTIFS('All Tickets (Master)'!$D$2:$D$227,$A11,'All Tickets (Master)'!$E$2:$E$227,$B11,'All Tickets (Master)'!$H$2:$H$227,"Reopened")</f>
        <v>0</v>
      </c>
      <c r="I11" s="8">
        <f>COUNTIFS('All Tickets (Master)'!$D$2:$D$227,$A11,'All Tickets (Master)'!$E$2:$E$227,$B11,'All Tickets (Master)'!$G$2:$G$227,"Highest")</f>
        <v>1</v>
      </c>
      <c r="J11" s="8">
        <f>COUNTIFS('All Tickets (Master)'!$D$2:$D$227,$A11,'All Tickets (Master)'!$E$2:$E$227,$B11,'All Tickets (Master)'!$G$2:$G$227,"High")</f>
        <v>0</v>
      </c>
      <c r="K11" s="8">
        <f>COUNTIFS('All Tickets (Master)'!$D$2:$D$227,$A11,'All Tickets (Master)'!$E$2:$E$227,$B11,'All Tickets (Master)'!$G$2:$G$227,"Medium")</f>
        <v>0</v>
      </c>
      <c r="L11" s="8">
        <f>COUNTIFS('All Tickets (Master)'!$D$2:$D$227,$A11,'All Tickets (Master)'!$E$2:$E$227,$B11,'All Tickets (Master)'!$G$2:$G$227,"Low")</f>
        <v>0</v>
      </c>
      <c r="M11" s="8">
        <f>COUNTIFS('All Tickets (Master)'!$D$2:$D$227,$A11,'All Tickets (Master)'!$E$2:$E$227,$B11,'All Tickets (Master)'!$F$2:$F$227,"FE")</f>
        <v>0</v>
      </c>
      <c r="N11" s="8">
        <f>COUNTIFS('All Tickets (Master)'!$D$2:$D$227,$A11,'All Tickets (Master)'!$E$2:$E$227,$B11,'All Tickets (Master)'!$F$2:$F$227,"BE")</f>
        <v>0</v>
      </c>
    </row>
    <row r="12" spans="1:14" x14ac:dyDescent="0.3">
      <c r="A12" s="3" t="s">
        <v>44</v>
      </c>
      <c r="B12" s="4" t="s">
        <v>47</v>
      </c>
      <c r="C12" s="5">
        <f>COUNTIFS('All Tickets (Master)'!$D$2:$D$227,$A12,'All Tickets (Master)'!$E$2:$E$227,$B12)</f>
        <v>3</v>
      </c>
      <c r="D12" s="5">
        <f>COUNTIFS('All Tickets (Master)'!$D$2:$D$227,$A12,'All Tickets (Master)'!$E$2:$E$227,$B12,'All Tickets (Master)'!$H$2:$H$227,"Backlog")</f>
        <v>1</v>
      </c>
      <c r="E12" s="5">
        <f>COUNTIFS('All Tickets (Master)'!$D$2:$D$227,$A12,'All Tickets (Master)'!$E$2:$E$227,$B12,'All Tickets (Master)'!$H$2:$H$227,"In Progress")</f>
        <v>1</v>
      </c>
      <c r="F12" s="5">
        <f>COUNTIFS('All Tickets (Master)'!$D$2:$D$227,$A12,'All Tickets (Master)'!$E$2:$E$227,$B12,'All Tickets (Master)'!$H$2:$H$227,"In Staging")</f>
        <v>1</v>
      </c>
      <c r="G12" s="5">
        <f>COUNTIFS('All Tickets (Master)'!$D$2:$D$227,$A12,'All Tickets (Master)'!$E$2:$E$227,$B12,'All Tickets (Master)'!$H$2:$H$227,"Ready for Production")</f>
        <v>0</v>
      </c>
      <c r="H12" s="5">
        <f>COUNTIFS('All Tickets (Master)'!$D$2:$D$227,$A12,'All Tickets (Master)'!$E$2:$E$227,$B12,'All Tickets (Master)'!$H$2:$H$227,"Reopened")</f>
        <v>0</v>
      </c>
      <c r="I12" s="5">
        <f>COUNTIFS('All Tickets (Master)'!$D$2:$D$227,$A12,'All Tickets (Master)'!$E$2:$E$227,$B12,'All Tickets (Master)'!$G$2:$G$227,"Highest")</f>
        <v>1</v>
      </c>
      <c r="J12" s="5">
        <f>COUNTIFS('All Tickets (Master)'!$D$2:$D$227,$A12,'All Tickets (Master)'!$E$2:$E$227,$B12,'All Tickets (Master)'!$G$2:$G$227,"High")</f>
        <v>0</v>
      </c>
      <c r="K12" s="5">
        <f>COUNTIFS('All Tickets (Master)'!$D$2:$D$227,$A12,'All Tickets (Master)'!$E$2:$E$227,$B12,'All Tickets (Master)'!$G$2:$G$227,"Medium")</f>
        <v>1</v>
      </c>
      <c r="L12" s="5">
        <f>COUNTIFS('All Tickets (Master)'!$D$2:$D$227,$A12,'All Tickets (Master)'!$E$2:$E$227,$B12,'All Tickets (Master)'!$G$2:$G$227,"Low")</f>
        <v>1</v>
      </c>
      <c r="M12" s="5">
        <f>COUNTIFS('All Tickets (Master)'!$D$2:$D$227,$A12,'All Tickets (Master)'!$E$2:$E$227,$B12,'All Tickets (Master)'!$F$2:$F$227,"FE")</f>
        <v>0</v>
      </c>
      <c r="N12" s="5">
        <f>COUNTIFS('All Tickets (Master)'!$D$2:$D$227,$A12,'All Tickets (Master)'!$E$2:$E$227,$B12,'All Tickets (Master)'!$F$2:$F$227,"BE")</f>
        <v>2</v>
      </c>
    </row>
    <row r="13" spans="1:14" x14ac:dyDescent="0.3">
      <c r="A13" s="6" t="s">
        <v>44</v>
      </c>
      <c r="B13" s="7" t="s">
        <v>48</v>
      </c>
      <c r="C13" s="8">
        <f>COUNTIFS('All Tickets (Master)'!$D$2:$D$227,$A13,'All Tickets (Master)'!$E$2:$E$227,$B13)</f>
        <v>1</v>
      </c>
      <c r="D13" s="8">
        <f>COUNTIFS('All Tickets (Master)'!$D$2:$D$227,$A13,'All Tickets (Master)'!$E$2:$E$227,$B13,'All Tickets (Master)'!$H$2:$H$227,"Backlog")</f>
        <v>1</v>
      </c>
      <c r="E13" s="8">
        <f>COUNTIFS('All Tickets (Master)'!$D$2:$D$227,$A13,'All Tickets (Master)'!$E$2:$E$227,$B13,'All Tickets (Master)'!$H$2:$H$227,"In Progress")</f>
        <v>0</v>
      </c>
      <c r="F13" s="8">
        <f>COUNTIFS('All Tickets (Master)'!$D$2:$D$227,$A13,'All Tickets (Master)'!$E$2:$E$227,$B13,'All Tickets (Master)'!$H$2:$H$227,"In Staging")</f>
        <v>0</v>
      </c>
      <c r="G13" s="8">
        <f>COUNTIFS('All Tickets (Master)'!$D$2:$D$227,$A13,'All Tickets (Master)'!$E$2:$E$227,$B13,'All Tickets (Master)'!$H$2:$H$227,"Ready for Production")</f>
        <v>0</v>
      </c>
      <c r="H13" s="8">
        <f>COUNTIFS('All Tickets (Master)'!$D$2:$D$227,$A13,'All Tickets (Master)'!$E$2:$E$227,$B13,'All Tickets (Master)'!$H$2:$H$227,"Reopened")</f>
        <v>0</v>
      </c>
      <c r="I13" s="8">
        <f>COUNTIFS('All Tickets (Master)'!$D$2:$D$227,$A13,'All Tickets (Master)'!$E$2:$E$227,$B13,'All Tickets (Master)'!$G$2:$G$227,"Highest")</f>
        <v>0</v>
      </c>
      <c r="J13" s="8">
        <f>COUNTIFS('All Tickets (Master)'!$D$2:$D$227,$A13,'All Tickets (Master)'!$E$2:$E$227,$B13,'All Tickets (Master)'!$G$2:$G$227,"High")</f>
        <v>0</v>
      </c>
      <c r="K13" s="8">
        <f>COUNTIFS('All Tickets (Master)'!$D$2:$D$227,$A13,'All Tickets (Master)'!$E$2:$E$227,$B13,'All Tickets (Master)'!$G$2:$G$227,"Medium")</f>
        <v>1</v>
      </c>
      <c r="L13" s="8">
        <f>COUNTIFS('All Tickets (Master)'!$D$2:$D$227,$A13,'All Tickets (Master)'!$E$2:$E$227,$B13,'All Tickets (Master)'!$G$2:$G$227,"Low")</f>
        <v>0</v>
      </c>
      <c r="M13" s="8">
        <f>COUNTIFS('All Tickets (Master)'!$D$2:$D$227,$A13,'All Tickets (Master)'!$E$2:$E$227,$B13,'All Tickets (Master)'!$F$2:$F$227,"FE")</f>
        <v>0</v>
      </c>
      <c r="N13" s="8">
        <f>COUNTIFS('All Tickets (Master)'!$D$2:$D$227,$A13,'All Tickets (Master)'!$E$2:$E$227,$B13,'All Tickets (Master)'!$F$2:$F$227,"BE")</f>
        <v>0</v>
      </c>
    </row>
    <row r="14" spans="1:14" x14ac:dyDescent="0.3">
      <c r="A14" s="3" t="s">
        <v>44</v>
      </c>
      <c r="B14" s="4" t="s">
        <v>49</v>
      </c>
      <c r="C14" s="5">
        <f>COUNTIFS('All Tickets (Master)'!$D$2:$D$227,$A14,'All Tickets (Master)'!$E$2:$E$227,$B14)</f>
        <v>5</v>
      </c>
      <c r="D14" s="5">
        <f>COUNTIFS('All Tickets (Master)'!$D$2:$D$227,$A14,'All Tickets (Master)'!$E$2:$E$227,$B14,'All Tickets (Master)'!$H$2:$H$227,"Backlog")</f>
        <v>5</v>
      </c>
      <c r="E14" s="5">
        <f>COUNTIFS('All Tickets (Master)'!$D$2:$D$227,$A14,'All Tickets (Master)'!$E$2:$E$227,$B14,'All Tickets (Master)'!$H$2:$H$227,"In Progress")</f>
        <v>0</v>
      </c>
      <c r="F14" s="5">
        <f>COUNTIFS('All Tickets (Master)'!$D$2:$D$227,$A14,'All Tickets (Master)'!$E$2:$E$227,$B14,'All Tickets (Master)'!$H$2:$H$227,"In Staging")</f>
        <v>0</v>
      </c>
      <c r="G14" s="5">
        <f>COUNTIFS('All Tickets (Master)'!$D$2:$D$227,$A14,'All Tickets (Master)'!$E$2:$E$227,$B14,'All Tickets (Master)'!$H$2:$H$227,"Ready for Production")</f>
        <v>0</v>
      </c>
      <c r="H14" s="5">
        <f>COUNTIFS('All Tickets (Master)'!$D$2:$D$227,$A14,'All Tickets (Master)'!$E$2:$E$227,$B14,'All Tickets (Master)'!$H$2:$H$227,"Reopened")</f>
        <v>0</v>
      </c>
      <c r="I14" s="5">
        <f>COUNTIFS('All Tickets (Master)'!$D$2:$D$227,$A14,'All Tickets (Master)'!$E$2:$E$227,$B14,'All Tickets (Master)'!$G$2:$G$227,"Highest")</f>
        <v>0</v>
      </c>
      <c r="J14" s="5">
        <f>COUNTIFS('All Tickets (Master)'!$D$2:$D$227,$A14,'All Tickets (Master)'!$E$2:$E$227,$B14,'All Tickets (Master)'!$G$2:$G$227,"High")</f>
        <v>3</v>
      </c>
      <c r="K14" s="5">
        <f>COUNTIFS('All Tickets (Master)'!$D$2:$D$227,$A14,'All Tickets (Master)'!$E$2:$E$227,$B14,'All Tickets (Master)'!$G$2:$G$227,"Medium")</f>
        <v>1</v>
      </c>
      <c r="L14" s="5">
        <f>COUNTIFS('All Tickets (Master)'!$D$2:$D$227,$A14,'All Tickets (Master)'!$E$2:$E$227,$B14,'All Tickets (Master)'!$G$2:$G$227,"Low")</f>
        <v>1</v>
      </c>
      <c r="M14" s="5">
        <f>COUNTIFS('All Tickets (Master)'!$D$2:$D$227,$A14,'All Tickets (Master)'!$E$2:$E$227,$B14,'All Tickets (Master)'!$F$2:$F$227,"FE")</f>
        <v>0</v>
      </c>
      <c r="N14" s="5">
        <f>COUNTIFS('All Tickets (Master)'!$D$2:$D$227,$A14,'All Tickets (Master)'!$E$2:$E$227,$B14,'All Tickets (Master)'!$F$2:$F$227,"BE")</f>
        <v>0</v>
      </c>
    </row>
    <row r="15" spans="1:14" x14ac:dyDescent="0.3">
      <c r="A15" s="6" t="s">
        <v>44</v>
      </c>
      <c r="B15" s="7" t="s">
        <v>50</v>
      </c>
      <c r="C15" s="8">
        <f>COUNTIFS('All Tickets (Master)'!$D$2:$D$227,$A15,'All Tickets (Master)'!$E$2:$E$227,$B15)</f>
        <v>37</v>
      </c>
      <c r="D15" s="8">
        <f>COUNTIFS('All Tickets (Master)'!$D$2:$D$227,$A15,'All Tickets (Master)'!$E$2:$E$227,$B15,'All Tickets (Master)'!$H$2:$H$227,"Backlog")</f>
        <v>28</v>
      </c>
      <c r="E15" s="8">
        <f>COUNTIFS('All Tickets (Master)'!$D$2:$D$227,$A15,'All Tickets (Master)'!$E$2:$E$227,$B15,'All Tickets (Master)'!$H$2:$H$227,"In Progress")</f>
        <v>1</v>
      </c>
      <c r="F15" s="8">
        <f>COUNTIFS('All Tickets (Master)'!$D$2:$D$227,$A15,'All Tickets (Master)'!$E$2:$E$227,$B15,'All Tickets (Master)'!$H$2:$H$227,"In Staging")</f>
        <v>3</v>
      </c>
      <c r="G15" s="8">
        <f>COUNTIFS('All Tickets (Master)'!$D$2:$D$227,$A15,'All Tickets (Master)'!$E$2:$E$227,$B15,'All Tickets (Master)'!$H$2:$H$227,"Ready for Production")</f>
        <v>4</v>
      </c>
      <c r="H15" s="8">
        <f>COUNTIFS('All Tickets (Master)'!$D$2:$D$227,$A15,'All Tickets (Master)'!$E$2:$E$227,$B15,'All Tickets (Master)'!$H$2:$H$227,"Reopened")</f>
        <v>1</v>
      </c>
      <c r="I15" s="8">
        <f>COUNTIFS('All Tickets (Master)'!$D$2:$D$227,$A15,'All Tickets (Master)'!$E$2:$E$227,$B15,'All Tickets (Master)'!$G$2:$G$227,"Highest")</f>
        <v>5</v>
      </c>
      <c r="J15" s="8">
        <f>COUNTIFS('All Tickets (Master)'!$D$2:$D$227,$A15,'All Tickets (Master)'!$E$2:$E$227,$B15,'All Tickets (Master)'!$G$2:$G$227,"High")</f>
        <v>21</v>
      </c>
      <c r="K15" s="8">
        <f>COUNTIFS('All Tickets (Master)'!$D$2:$D$227,$A15,'All Tickets (Master)'!$E$2:$E$227,$B15,'All Tickets (Master)'!$G$2:$G$227,"Medium")</f>
        <v>5</v>
      </c>
      <c r="L15" s="8">
        <f>COUNTIFS('All Tickets (Master)'!$D$2:$D$227,$A15,'All Tickets (Master)'!$E$2:$E$227,$B15,'All Tickets (Master)'!$G$2:$G$227,"Low")</f>
        <v>6</v>
      </c>
      <c r="M15" s="8">
        <f>COUNTIFS('All Tickets (Master)'!$D$2:$D$227,$A15,'All Tickets (Master)'!$E$2:$E$227,$B15,'All Tickets (Master)'!$F$2:$F$227,"FE")</f>
        <v>2</v>
      </c>
      <c r="N15" s="8">
        <f>COUNTIFS('All Tickets (Master)'!$D$2:$D$227,$A15,'All Tickets (Master)'!$E$2:$E$227,$B15,'All Tickets (Master)'!$F$2:$F$227,"BE")</f>
        <v>1</v>
      </c>
    </row>
    <row r="16" spans="1:14" x14ac:dyDescent="0.3">
      <c r="A16" s="3" t="s">
        <v>44</v>
      </c>
      <c r="B16" s="4" t="s">
        <v>51</v>
      </c>
      <c r="C16" s="5">
        <f>COUNTIFS('All Tickets (Master)'!$D$2:$D$227,$A16,'All Tickets (Master)'!$E$2:$E$227,$B16)</f>
        <v>1</v>
      </c>
      <c r="D16" s="5">
        <f>COUNTIFS('All Tickets (Master)'!$D$2:$D$227,$A16,'All Tickets (Master)'!$E$2:$E$227,$B16,'All Tickets (Master)'!$H$2:$H$227,"Backlog")</f>
        <v>1</v>
      </c>
      <c r="E16" s="5">
        <f>COUNTIFS('All Tickets (Master)'!$D$2:$D$227,$A16,'All Tickets (Master)'!$E$2:$E$227,$B16,'All Tickets (Master)'!$H$2:$H$227,"In Progress")</f>
        <v>0</v>
      </c>
      <c r="F16" s="5">
        <f>COUNTIFS('All Tickets (Master)'!$D$2:$D$227,$A16,'All Tickets (Master)'!$E$2:$E$227,$B16,'All Tickets (Master)'!$H$2:$H$227,"In Staging")</f>
        <v>0</v>
      </c>
      <c r="G16" s="5">
        <f>COUNTIFS('All Tickets (Master)'!$D$2:$D$227,$A16,'All Tickets (Master)'!$E$2:$E$227,$B16,'All Tickets (Master)'!$H$2:$H$227,"Ready for Production")</f>
        <v>0</v>
      </c>
      <c r="H16" s="5">
        <f>COUNTIFS('All Tickets (Master)'!$D$2:$D$227,$A16,'All Tickets (Master)'!$E$2:$E$227,$B16,'All Tickets (Master)'!$H$2:$H$227,"Reopened")</f>
        <v>0</v>
      </c>
      <c r="I16" s="5">
        <f>COUNTIFS('All Tickets (Master)'!$D$2:$D$227,$A16,'All Tickets (Master)'!$E$2:$E$227,$B16,'All Tickets (Master)'!$G$2:$G$227,"Highest")</f>
        <v>0</v>
      </c>
      <c r="J16" s="5">
        <f>COUNTIFS('All Tickets (Master)'!$D$2:$D$227,$A16,'All Tickets (Master)'!$E$2:$E$227,$B16,'All Tickets (Master)'!$G$2:$G$227,"High")</f>
        <v>0</v>
      </c>
      <c r="K16" s="5">
        <f>COUNTIFS('All Tickets (Master)'!$D$2:$D$227,$A16,'All Tickets (Master)'!$E$2:$E$227,$B16,'All Tickets (Master)'!$G$2:$G$227,"Medium")</f>
        <v>1</v>
      </c>
      <c r="L16" s="5">
        <f>COUNTIFS('All Tickets (Master)'!$D$2:$D$227,$A16,'All Tickets (Master)'!$E$2:$E$227,$B16,'All Tickets (Master)'!$G$2:$G$227,"Low")</f>
        <v>0</v>
      </c>
      <c r="M16" s="5">
        <f>COUNTIFS('All Tickets (Master)'!$D$2:$D$227,$A16,'All Tickets (Master)'!$E$2:$E$227,$B16,'All Tickets (Master)'!$F$2:$F$227,"FE")</f>
        <v>0</v>
      </c>
      <c r="N16" s="5">
        <f>COUNTIFS('All Tickets (Master)'!$D$2:$D$227,$A16,'All Tickets (Master)'!$E$2:$E$227,$B16,'All Tickets (Master)'!$F$2:$F$227,"BE")</f>
        <v>0</v>
      </c>
    </row>
    <row r="17" spans="1:14" x14ac:dyDescent="0.3">
      <c r="A17" s="6" t="s">
        <v>52</v>
      </c>
      <c r="B17" s="7" t="s">
        <v>53</v>
      </c>
      <c r="C17" s="8">
        <f>COUNTIFS('All Tickets (Master)'!$D$2:$D$227,$A17,'All Tickets (Master)'!$E$2:$E$227,$B17)</f>
        <v>1</v>
      </c>
      <c r="D17" s="8">
        <f>COUNTIFS('All Tickets (Master)'!$D$2:$D$227,$A17,'All Tickets (Master)'!$E$2:$E$227,$B17,'All Tickets (Master)'!$H$2:$H$227,"Backlog")</f>
        <v>1</v>
      </c>
      <c r="E17" s="8">
        <f>COUNTIFS('All Tickets (Master)'!$D$2:$D$227,$A17,'All Tickets (Master)'!$E$2:$E$227,$B17,'All Tickets (Master)'!$H$2:$H$227,"In Progress")</f>
        <v>0</v>
      </c>
      <c r="F17" s="8">
        <f>COUNTIFS('All Tickets (Master)'!$D$2:$D$227,$A17,'All Tickets (Master)'!$E$2:$E$227,$B17,'All Tickets (Master)'!$H$2:$H$227,"In Staging")</f>
        <v>0</v>
      </c>
      <c r="G17" s="8">
        <f>COUNTIFS('All Tickets (Master)'!$D$2:$D$227,$A17,'All Tickets (Master)'!$E$2:$E$227,$B17,'All Tickets (Master)'!$H$2:$H$227,"Ready for Production")</f>
        <v>0</v>
      </c>
      <c r="H17" s="8">
        <f>COUNTIFS('All Tickets (Master)'!$D$2:$D$227,$A17,'All Tickets (Master)'!$E$2:$E$227,$B17,'All Tickets (Master)'!$H$2:$H$227,"Reopened")</f>
        <v>0</v>
      </c>
      <c r="I17" s="8">
        <f>COUNTIFS('All Tickets (Master)'!$D$2:$D$227,$A17,'All Tickets (Master)'!$E$2:$E$227,$B17,'All Tickets (Master)'!$G$2:$G$227,"Highest")</f>
        <v>1</v>
      </c>
      <c r="J17" s="8">
        <f>COUNTIFS('All Tickets (Master)'!$D$2:$D$227,$A17,'All Tickets (Master)'!$E$2:$E$227,$B17,'All Tickets (Master)'!$G$2:$G$227,"High")</f>
        <v>0</v>
      </c>
      <c r="K17" s="8">
        <f>COUNTIFS('All Tickets (Master)'!$D$2:$D$227,$A17,'All Tickets (Master)'!$E$2:$E$227,$B17,'All Tickets (Master)'!$G$2:$G$227,"Medium")</f>
        <v>0</v>
      </c>
      <c r="L17" s="8">
        <f>COUNTIFS('All Tickets (Master)'!$D$2:$D$227,$A17,'All Tickets (Master)'!$E$2:$E$227,$B17,'All Tickets (Master)'!$G$2:$G$227,"Low")</f>
        <v>0</v>
      </c>
      <c r="M17" s="8">
        <f>COUNTIFS('All Tickets (Master)'!$D$2:$D$227,$A17,'All Tickets (Master)'!$E$2:$E$227,$B17,'All Tickets (Master)'!$F$2:$F$227,"FE")</f>
        <v>0</v>
      </c>
      <c r="N17" s="8">
        <f>COUNTIFS('All Tickets (Master)'!$D$2:$D$227,$A17,'All Tickets (Master)'!$E$2:$E$227,$B17,'All Tickets (Master)'!$F$2:$F$227,"BE")</f>
        <v>0</v>
      </c>
    </row>
    <row r="18" spans="1:14" x14ac:dyDescent="0.3">
      <c r="A18" s="3" t="s">
        <v>52</v>
      </c>
      <c r="B18" s="4" t="s">
        <v>54</v>
      </c>
      <c r="C18" s="5">
        <f>COUNTIFS('All Tickets (Master)'!$D$2:$D$227,$A18,'All Tickets (Master)'!$E$2:$E$227,$B18)</f>
        <v>2</v>
      </c>
      <c r="D18" s="5">
        <f>COUNTIFS('All Tickets (Master)'!$D$2:$D$227,$A18,'All Tickets (Master)'!$E$2:$E$227,$B18,'All Tickets (Master)'!$H$2:$H$227,"Backlog")</f>
        <v>2</v>
      </c>
      <c r="E18" s="5">
        <f>COUNTIFS('All Tickets (Master)'!$D$2:$D$227,$A18,'All Tickets (Master)'!$E$2:$E$227,$B18,'All Tickets (Master)'!$H$2:$H$227,"In Progress")</f>
        <v>0</v>
      </c>
      <c r="F18" s="5">
        <f>COUNTIFS('All Tickets (Master)'!$D$2:$D$227,$A18,'All Tickets (Master)'!$E$2:$E$227,$B18,'All Tickets (Master)'!$H$2:$H$227,"In Staging")</f>
        <v>0</v>
      </c>
      <c r="G18" s="5">
        <f>COUNTIFS('All Tickets (Master)'!$D$2:$D$227,$A18,'All Tickets (Master)'!$E$2:$E$227,$B18,'All Tickets (Master)'!$H$2:$H$227,"Ready for Production")</f>
        <v>0</v>
      </c>
      <c r="H18" s="5">
        <f>COUNTIFS('All Tickets (Master)'!$D$2:$D$227,$A18,'All Tickets (Master)'!$E$2:$E$227,$B18,'All Tickets (Master)'!$H$2:$H$227,"Reopened")</f>
        <v>0</v>
      </c>
      <c r="I18" s="5">
        <f>COUNTIFS('All Tickets (Master)'!$D$2:$D$227,$A18,'All Tickets (Master)'!$E$2:$E$227,$B18,'All Tickets (Master)'!$G$2:$G$227,"Highest")</f>
        <v>0</v>
      </c>
      <c r="J18" s="5">
        <f>COUNTIFS('All Tickets (Master)'!$D$2:$D$227,$A18,'All Tickets (Master)'!$E$2:$E$227,$B18,'All Tickets (Master)'!$G$2:$G$227,"High")</f>
        <v>1</v>
      </c>
      <c r="K18" s="5">
        <f>COUNTIFS('All Tickets (Master)'!$D$2:$D$227,$A18,'All Tickets (Master)'!$E$2:$E$227,$B18,'All Tickets (Master)'!$G$2:$G$227,"Medium")</f>
        <v>1</v>
      </c>
      <c r="L18" s="5">
        <f>COUNTIFS('All Tickets (Master)'!$D$2:$D$227,$A18,'All Tickets (Master)'!$E$2:$E$227,$B18,'All Tickets (Master)'!$G$2:$G$227,"Low")</f>
        <v>0</v>
      </c>
      <c r="M18" s="5">
        <f>COUNTIFS('All Tickets (Master)'!$D$2:$D$227,$A18,'All Tickets (Master)'!$E$2:$E$227,$B18,'All Tickets (Master)'!$F$2:$F$227,"FE")</f>
        <v>0</v>
      </c>
      <c r="N18" s="5">
        <f>COUNTIFS('All Tickets (Master)'!$D$2:$D$227,$A18,'All Tickets (Master)'!$E$2:$E$227,$B18,'All Tickets (Master)'!$F$2:$F$227,"BE")</f>
        <v>0</v>
      </c>
    </row>
    <row r="19" spans="1:14" x14ac:dyDescent="0.3">
      <c r="A19" s="6" t="s">
        <v>52</v>
      </c>
      <c r="B19" s="7" t="s">
        <v>55</v>
      </c>
      <c r="C19" s="8">
        <f>COUNTIFS('All Tickets (Master)'!$D$2:$D$227,$A19,'All Tickets (Master)'!$E$2:$E$227,$B19)</f>
        <v>4</v>
      </c>
      <c r="D19" s="8">
        <f>COUNTIFS('All Tickets (Master)'!$D$2:$D$227,$A19,'All Tickets (Master)'!$E$2:$E$227,$B19,'All Tickets (Master)'!$H$2:$H$227,"Backlog")</f>
        <v>3</v>
      </c>
      <c r="E19" s="8">
        <f>COUNTIFS('All Tickets (Master)'!$D$2:$D$227,$A19,'All Tickets (Master)'!$E$2:$E$227,$B19,'All Tickets (Master)'!$H$2:$H$227,"In Progress")</f>
        <v>0</v>
      </c>
      <c r="F19" s="8">
        <f>COUNTIFS('All Tickets (Master)'!$D$2:$D$227,$A19,'All Tickets (Master)'!$E$2:$E$227,$B19,'All Tickets (Master)'!$H$2:$H$227,"In Staging")</f>
        <v>0</v>
      </c>
      <c r="G19" s="8">
        <f>COUNTIFS('All Tickets (Master)'!$D$2:$D$227,$A19,'All Tickets (Master)'!$E$2:$E$227,$B19,'All Tickets (Master)'!$H$2:$H$227,"Ready for Production")</f>
        <v>0</v>
      </c>
      <c r="H19" s="8">
        <f>COUNTIFS('All Tickets (Master)'!$D$2:$D$227,$A19,'All Tickets (Master)'!$E$2:$E$227,$B19,'All Tickets (Master)'!$H$2:$H$227,"Reopened")</f>
        <v>1</v>
      </c>
      <c r="I19" s="8">
        <f>COUNTIFS('All Tickets (Master)'!$D$2:$D$227,$A19,'All Tickets (Master)'!$E$2:$E$227,$B19,'All Tickets (Master)'!$G$2:$G$227,"Highest")</f>
        <v>1</v>
      </c>
      <c r="J19" s="8">
        <f>COUNTIFS('All Tickets (Master)'!$D$2:$D$227,$A19,'All Tickets (Master)'!$E$2:$E$227,$B19,'All Tickets (Master)'!$G$2:$G$227,"High")</f>
        <v>2</v>
      </c>
      <c r="K19" s="8">
        <f>COUNTIFS('All Tickets (Master)'!$D$2:$D$227,$A19,'All Tickets (Master)'!$E$2:$E$227,$B19,'All Tickets (Master)'!$G$2:$G$227,"Medium")</f>
        <v>1</v>
      </c>
      <c r="L19" s="8">
        <f>COUNTIFS('All Tickets (Master)'!$D$2:$D$227,$A19,'All Tickets (Master)'!$E$2:$E$227,$B19,'All Tickets (Master)'!$G$2:$G$227,"Low")</f>
        <v>0</v>
      </c>
      <c r="M19" s="8">
        <f>COUNTIFS('All Tickets (Master)'!$D$2:$D$227,$A19,'All Tickets (Master)'!$E$2:$E$227,$B19,'All Tickets (Master)'!$F$2:$F$227,"FE")</f>
        <v>1</v>
      </c>
      <c r="N19" s="8">
        <f>COUNTIFS('All Tickets (Master)'!$D$2:$D$227,$A19,'All Tickets (Master)'!$E$2:$E$227,$B19,'All Tickets (Master)'!$F$2:$F$227,"BE")</f>
        <v>0</v>
      </c>
    </row>
    <row r="20" spans="1:14" x14ac:dyDescent="0.3">
      <c r="A20" s="3" t="s">
        <v>52</v>
      </c>
      <c r="B20" s="4" t="s">
        <v>56</v>
      </c>
      <c r="C20" s="5">
        <f>COUNTIFS('All Tickets (Master)'!$D$2:$D$227,$A20,'All Tickets (Master)'!$E$2:$E$227,$B20)</f>
        <v>1</v>
      </c>
      <c r="D20" s="5">
        <f>COUNTIFS('All Tickets (Master)'!$D$2:$D$227,$A20,'All Tickets (Master)'!$E$2:$E$227,$B20,'All Tickets (Master)'!$H$2:$H$227,"Backlog")</f>
        <v>1</v>
      </c>
      <c r="E20" s="5">
        <f>COUNTIFS('All Tickets (Master)'!$D$2:$D$227,$A20,'All Tickets (Master)'!$E$2:$E$227,$B20,'All Tickets (Master)'!$H$2:$H$227,"In Progress")</f>
        <v>0</v>
      </c>
      <c r="F20" s="5">
        <f>COUNTIFS('All Tickets (Master)'!$D$2:$D$227,$A20,'All Tickets (Master)'!$E$2:$E$227,$B20,'All Tickets (Master)'!$H$2:$H$227,"In Staging")</f>
        <v>0</v>
      </c>
      <c r="G20" s="5">
        <f>COUNTIFS('All Tickets (Master)'!$D$2:$D$227,$A20,'All Tickets (Master)'!$E$2:$E$227,$B20,'All Tickets (Master)'!$H$2:$H$227,"Ready for Production")</f>
        <v>0</v>
      </c>
      <c r="H20" s="5">
        <f>COUNTIFS('All Tickets (Master)'!$D$2:$D$227,$A20,'All Tickets (Master)'!$E$2:$E$227,$B20,'All Tickets (Master)'!$H$2:$H$227,"Reopened")</f>
        <v>0</v>
      </c>
      <c r="I20" s="5">
        <f>COUNTIFS('All Tickets (Master)'!$D$2:$D$227,$A20,'All Tickets (Master)'!$E$2:$E$227,$B20,'All Tickets (Master)'!$G$2:$G$227,"Highest")</f>
        <v>0</v>
      </c>
      <c r="J20" s="5">
        <f>COUNTIFS('All Tickets (Master)'!$D$2:$D$227,$A20,'All Tickets (Master)'!$E$2:$E$227,$B20,'All Tickets (Master)'!$G$2:$G$227,"High")</f>
        <v>1</v>
      </c>
      <c r="K20" s="5">
        <f>COUNTIFS('All Tickets (Master)'!$D$2:$D$227,$A20,'All Tickets (Master)'!$E$2:$E$227,$B20,'All Tickets (Master)'!$G$2:$G$227,"Medium")</f>
        <v>0</v>
      </c>
      <c r="L20" s="5">
        <f>COUNTIFS('All Tickets (Master)'!$D$2:$D$227,$A20,'All Tickets (Master)'!$E$2:$E$227,$B20,'All Tickets (Master)'!$G$2:$G$227,"Low")</f>
        <v>0</v>
      </c>
      <c r="M20" s="5">
        <f>COUNTIFS('All Tickets (Master)'!$D$2:$D$227,$A20,'All Tickets (Master)'!$E$2:$E$227,$B20,'All Tickets (Master)'!$F$2:$F$227,"FE")</f>
        <v>0</v>
      </c>
      <c r="N20" s="5">
        <f>COUNTIFS('All Tickets (Master)'!$D$2:$D$227,$A20,'All Tickets (Master)'!$E$2:$E$227,$B20,'All Tickets (Master)'!$F$2:$F$227,"BE")</f>
        <v>0</v>
      </c>
    </row>
    <row r="21" spans="1:14" x14ac:dyDescent="0.3">
      <c r="A21" s="6" t="s">
        <v>52</v>
      </c>
      <c r="B21" s="7" t="s">
        <v>57</v>
      </c>
      <c r="C21" s="8">
        <f>COUNTIFS('All Tickets (Master)'!$D$2:$D$227,$A21,'All Tickets (Master)'!$E$2:$E$227,$B21)</f>
        <v>5</v>
      </c>
      <c r="D21" s="8">
        <f>COUNTIFS('All Tickets (Master)'!$D$2:$D$227,$A21,'All Tickets (Master)'!$E$2:$E$227,$B21,'All Tickets (Master)'!$H$2:$H$227,"Backlog")</f>
        <v>3</v>
      </c>
      <c r="E21" s="8">
        <f>COUNTIFS('All Tickets (Master)'!$D$2:$D$227,$A21,'All Tickets (Master)'!$E$2:$E$227,$B21,'All Tickets (Master)'!$H$2:$H$227,"In Progress")</f>
        <v>1</v>
      </c>
      <c r="F21" s="8">
        <f>COUNTIFS('All Tickets (Master)'!$D$2:$D$227,$A21,'All Tickets (Master)'!$E$2:$E$227,$B21,'All Tickets (Master)'!$H$2:$H$227,"In Staging")</f>
        <v>0</v>
      </c>
      <c r="G21" s="8">
        <f>COUNTIFS('All Tickets (Master)'!$D$2:$D$227,$A21,'All Tickets (Master)'!$E$2:$E$227,$B21,'All Tickets (Master)'!$H$2:$H$227,"Ready for Production")</f>
        <v>0</v>
      </c>
      <c r="H21" s="8">
        <f>COUNTIFS('All Tickets (Master)'!$D$2:$D$227,$A21,'All Tickets (Master)'!$E$2:$E$227,$B21,'All Tickets (Master)'!$H$2:$H$227,"Reopened")</f>
        <v>1</v>
      </c>
      <c r="I21" s="8">
        <f>COUNTIFS('All Tickets (Master)'!$D$2:$D$227,$A21,'All Tickets (Master)'!$E$2:$E$227,$B21,'All Tickets (Master)'!$G$2:$G$227,"Highest")</f>
        <v>3</v>
      </c>
      <c r="J21" s="8">
        <f>COUNTIFS('All Tickets (Master)'!$D$2:$D$227,$A21,'All Tickets (Master)'!$E$2:$E$227,$B21,'All Tickets (Master)'!$G$2:$G$227,"High")</f>
        <v>2</v>
      </c>
      <c r="K21" s="8">
        <f>COUNTIFS('All Tickets (Master)'!$D$2:$D$227,$A21,'All Tickets (Master)'!$E$2:$E$227,$B21,'All Tickets (Master)'!$G$2:$G$227,"Medium")</f>
        <v>0</v>
      </c>
      <c r="L21" s="8">
        <f>COUNTIFS('All Tickets (Master)'!$D$2:$D$227,$A21,'All Tickets (Master)'!$E$2:$E$227,$B21,'All Tickets (Master)'!$G$2:$G$227,"Low")</f>
        <v>0</v>
      </c>
      <c r="M21" s="8">
        <f>COUNTIFS('All Tickets (Master)'!$D$2:$D$227,$A21,'All Tickets (Master)'!$E$2:$E$227,$B21,'All Tickets (Master)'!$F$2:$F$227,"FE")</f>
        <v>0</v>
      </c>
      <c r="N21" s="8">
        <f>COUNTIFS('All Tickets (Master)'!$D$2:$D$227,$A21,'All Tickets (Master)'!$E$2:$E$227,$B21,'All Tickets (Master)'!$F$2:$F$227,"BE")</f>
        <v>2</v>
      </c>
    </row>
    <row r="22" spans="1:14" x14ac:dyDescent="0.3">
      <c r="A22" s="3" t="s">
        <v>52</v>
      </c>
      <c r="B22" s="4" t="s">
        <v>58</v>
      </c>
      <c r="C22" s="5">
        <f>COUNTIFS('All Tickets (Master)'!$D$2:$D$227,$A22,'All Tickets (Master)'!$E$2:$E$227,$B22)</f>
        <v>7</v>
      </c>
      <c r="D22" s="5">
        <f>COUNTIFS('All Tickets (Master)'!$D$2:$D$227,$A22,'All Tickets (Master)'!$E$2:$E$227,$B22,'All Tickets (Master)'!$H$2:$H$227,"Backlog")</f>
        <v>5</v>
      </c>
      <c r="E22" s="5">
        <f>COUNTIFS('All Tickets (Master)'!$D$2:$D$227,$A22,'All Tickets (Master)'!$E$2:$E$227,$B22,'All Tickets (Master)'!$H$2:$H$227,"In Progress")</f>
        <v>1</v>
      </c>
      <c r="F22" s="5">
        <f>COUNTIFS('All Tickets (Master)'!$D$2:$D$227,$A22,'All Tickets (Master)'!$E$2:$E$227,$B22,'All Tickets (Master)'!$H$2:$H$227,"In Staging")</f>
        <v>0</v>
      </c>
      <c r="G22" s="5">
        <f>COUNTIFS('All Tickets (Master)'!$D$2:$D$227,$A22,'All Tickets (Master)'!$E$2:$E$227,$B22,'All Tickets (Master)'!$H$2:$H$227,"Ready for Production")</f>
        <v>1</v>
      </c>
      <c r="H22" s="5">
        <f>COUNTIFS('All Tickets (Master)'!$D$2:$D$227,$A22,'All Tickets (Master)'!$E$2:$E$227,$B22,'All Tickets (Master)'!$H$2:$H$227,"Reopened")</f>
        <v>0</v>
      </c>
      <c r="I22" s="5">
        <f>COUNTIFS('All Tickets (Master)'!$D$2:$D$227,$A22,'All Tickets (Master)'!$E$2:$E$227,$B22,'All Tickets (Master)'!$G$2:$G$227,"Highest")</f>
        <v>2</v>
      </c>
      <c r="J22" s="5">
        <f>COUNTIFS('All Tickets (Master)'!$D$2:$D$227,$A22,'All Tickets (Master)'!$E$2:$E$227,$B22,'All Tickets (Master)'!$G$2:$G$227,"High")</f>
        <v>3</v>
      </c>
      <c r="K22" s="5">
        <f>COUNTIFS('All Tickets (Master)'!$D$2:$D$227,$A22,'All Tickets (Master)'!$E$2:$E$227,$B22,'All Tickets (Master)'!$G$2:$G$227,"Medium")</f>
        <v>0</v>
      </c>
      <c r="L22" s="5">
        <f>COUNTIFS('All Tickets (Master)'!$D$2:$D$227,$A22,'All Tickets (Master)'!$E$2:$E$227,$B22,'All Tickets (Master)'!$G$2:$G$227,"Low")</f>
        <v>2</v>
      </c>
      <c r="M22" s="5">
        <f>COUNTIFS('All Tickets (Master)'!$D$2:$D$227,$A22,'All Tickets (Master)'!$E$2:$E$227,$B22,'All Tickets (Master)'!$F$2:$F$227,"FE")</f>
        <v>0</v>
      </c>
      <c r="N22" s="5">
        <f>COUNTIFS('All Tickets (Master)'!$D$2:$D$227,$A22,'All Tickets (Master)'!$E$2:$E$227,$B22,'All Tickets (Master)'!$F$2:$F$227,"BE")</f>
        <v>1</v>
      </c>
    </row>
    <row r="23" spans="1:14" x14ac:dyDescent="0.3">
      <c r="A23" s="6" t="s">
        <v>52</v>
      </c>
      <c r="B23" s="7" t="s">
        <v>59</v>
      </c>
      <c r="C23" s="8">
        <f>COUNTIFS('All Tickets (Master)'!$D$2:$D$227,$A23,'All Tickets (Master)'!$E$2:$E$227,$B23)</f>
        <v>3</v>
      </c>
      <c r="D23" s="8">
        <f>COUNTIFS('All Tickets (Master)'!$D$2:$D$227,$A23,'All Tickets (Master)'!$E$2:$E$227,$B23,'All Tickets (Master)'!$H$2:$H$227,"Backlog")</f>
        <v>3</v>
      </c>
      <c r="E23" s="8">
        <f>COUNTIFS('All Tickets (Master)'!$D$2:$D$227,$A23,'All Tickets (Master)'!$E$2:$E$227,$B23,'All Tickets (Master)'!$H$2:$H$227,"In Progress")</f>
        <v>0</v>
      </c>
      <c r="F23" s="8">
        <f>COUNTIFS('All Tickets (Master)'!$D$2:$D$227,$A23,'All Tickets (Master)'!$E$2:$E$227,$B23,'All Tickets (Master)'!$H$2:$H$227,"In Staging")</f>
        <v>0</v>
      </c>
      <c r="G23" s="8">
        <f>COUNTIFS('All Tickets (Master)'!$D$2:$D$227,$A23,'All Tickets (Master)'!$E$2:$E$227,$B23,'All Tickets (Master)'!$H$2:$H$227,"Ready for Production")</f>
        <v>0</v>
      </c>
      <c r="H23" s="8">
        <f>COUNTIFS('All Tickets (Master)'!$D$2:$D$227,$A23,'All Tickets (Master)'!$E$2:$E$227,$B23,'All Tickets (Master)'!$H$2:$H$227,"Reopened")</f>
        <v>0</v>
      </c>
      <c r="I23" s="8">
        <f>COUNTIFS('All Tickets (Master)'!$D$2:$D$227,$A23,'All Tickets (Master)'!$E$2:$E$227,$B23,'All Tickets (Master)'!$G$2:$G$227,"Highest")</f>
        <v>0</v>
      </c>
      <c r="J23" s="8">
        <f>COUNTIFS('All Tickets (Master)'!$D$2:$D$227,$A23,'All Tickets (Master)'!$E$2:$E$227,$B23,'All Tickets (Master)'!$G$2:$G$227,"High")</f>
        <v>3</v>
      </c>
      <c r="K23" s="8">
        <f>COUNTIFS('All Tickets (Master)'!$D$2:$D$227,$A23,'All Tickets (Master)'!$E$2:$E$227,$B23,'All Tickets (Master)'!$G$2:$G$227,"Medium")</f>
        <v>0</v>
      </c>
      <c r="L23" s="8">
        <f>COUNTIFS('All Tickets (Master)'!$D$2:$D$227,$A23,'All Tickets (Master)'!$E$2:$E$227,$B23,'All Tickets (Master)'!$G$2:$G$227,"Low")</f>
        <v>0</v>
      </c>
      <c r="M23" s="8">
        <f>COUNTIFS('All Tickets (Master)'!$D$2:$D$227,$A23,'All Tickets (Master)'!$E$2:$E$227,$B23,'All Tickets (Master)'!$F$2:$F$227,"FE")</f>
        <v>0</v>
      </c>
      <c r="N23" s="8">
        <f>COUNTIFS('All Tickets (Master)'!$D$2:$D$227,$A23,'All Tickets (Master)'!$E$2:$E$227,$B23,'All Tickets (Master)'!$F$2:$F$227,"BE")</f>
        <v>0</v>
      </c>
    </row>
    <row r="24" spans="1:14" x14ac:dyDescent="0.3">
      <c r="A24" s="3" t="s">
        <v>52</v>
      </c>
      <c r="B24" s="4" t="s">
        <v>60</v>
      </c>
      <c r="C24" s="5">
        <f>COUNTIFS('All Tickets (Master)'!$D$2:$D$227,$A24,'All Tickets (Master)'!$E$2:$E$227,$B24)</f>
        <v>16</v>
      </c>
      <c r="D24" s="5">
        <f>COUNTIFS('All Tickets (Master)'!$D$2:$D$227,$A24,'All Tickets (Master)'!$E$2:$E$227,$B24,'All Tickets (Master)'!$H$2:$H$227,"Backlog")</f>
        <v>11</v>
      </c>
      <c r="E24" s="5">
        <f>COUNTIFS('All Tickets (Master)'!$D$2:$D$227,$A24,'All Tickets (Master)'!$E$2:$E$227,$B24,'All Tickets (Master)'!$H$2:$H$227,"In Progress")</f>
        <v>3</v>
      </c>
      <c r="F24" s="5">
        <f>COUNTIFS('All Tickets (Master)'!$D$2:$D$227,$A24,'All Tickets (Master)'!$E$2:$E$227,$B24,'All Tickets (Master)'!$H$2:$H$227,"In Staging")</f>
        <v>2</v>
      </c>
      <c r="G24" s="5">
        <f>COUNTIFS('All Tickets (Master)'!$D$2:$D$227,$A24,'All Tickets (Master)'!$E$2:$E$227,$B24,'All Tickets (Master)'!$H$2:$H$227,"Ready for Production")</f>
        <v>0</v>
      </c>
      <c r="H24" s="5">
        <f>COUNTIFS('All Tickets (Master)'!$D$2:$D$227,$A24,'All Tickets (Master)'!$E$2:$E$227,$B24,'All Tickets (Master)'!$H$2:$H$227,"Reopened")</f>
        <v>0</v>
      </c>
      <c r="I24" s="5">
        <f>COUNTIFS('All Tickets (Master)'!$D$2:$D$227,$A24,'All Tickets (Master)'!$E$2:$E$227,$B24,'All Tickets (Master)'!$G$2:$G$227,"Highest")</f>
        <v>3</v>
      </c>
      <c r="J24" s="5">
        <f>COUNTIFS('All Tickets (Master)'!$D$2:$D$227,$A24,'All Tickets (Master)'!$E$2:$E$227,$B24,'All Tickets (Master)'!$G$2:$G$227,"High")</f>
        <v>11</v>
      </c>
      <c r="K24" s="5">
        <f>COUNTIFS('All Tickets (Master)'!$D$2:$D$227,$A24,'All Tickets (Master)'!$E$2:$E$227,$B24,'All Tickets (Master)'!$G$2:$G$227,"Medium")</f>
        <v>1</v>
      </c>
      <c r="L24" s="5">
        <f>COUNTIFS('All Tickets (Master)'!$D$2:$D$227,$A24,'All Tickets (Master)'!$E$2:$E$227,$B24,'All Tickets (Master)'!$G$2:$G$227,"Low")</f>
        <v>1</v>
      </c>
      <c r="M24" s="5">
        <f>COUNTIFS('All Tickets (Master)'!$D$2:$D$227,$A24,'All Tickets (Master)'!$E$2:$E$227,$B24,'All Tickets (Master)'!$F$2:$F$227,"FE")</f>
        <v>1</v>
      </c>
      <c r="N24" s="5">
        <f>COUNTIFS('All Tickets (Master)'!$D$2:$D$227,$A24,'All Tickets (Master)'!$E$2:$E$227,$B24,'All Tickets (Master)'!$F$2:$F$227,"BE")</f>
        <v>0</v>
      </c>
    </row>
    <row r="25" spans="1:14" x14ac:dyDescent="0.3">
      <c r="A25" s="6" t="s">
        <v>52</v>
      </c>
      <c r="B25" s="7" t="s">
        <v>61</v>
      </c>
      <c r="C25" s="8">
        <f>COUNTIFS('All Tickets (Master)'!$D$2:$D$227,$A25,'All Tickets (Master)'!$E$2:$E$227,$B25)</f>
        <v>1</v>
      </c>
      <c r="D25" s="8">
        <f>COUNTIFS('All Tickets (Master)'!$D$2:$D$227,$A25,'All Tickets (Master)'!$E$2:$E$227,$B25,'All Tickets (Master)'!$H$2:$H$227,"Backlog")</f>
        <v>1</v>
      </c>
      <c r="E25" s="8">
        <f>COUNTIFS('All Tickets (Master)'!$D$2:$D$227,$A25,'All Tickets (Master)'!$E$2:$E$227,$B25,'All Tickets (Master)'!$H$2:$H$227,"In Progress")</f>
        <v>0</v>
      </c>
      <c r="F25" s="8">
        <f>COUNTIFS('All Tickets (Master)'!$D$2:$D$227,$A25,'All Tickets (Master)'!$E$2:$E$227,$B25,'All Tickets (Master)'!$H$2:$H$227,"In Staging")</f>
        <v>0</v>
      </c>
      <c r="G25" s="8">
        <f>COUNTIFS('All Tickets (Master)'!$D$2:$D$227,$A25,'All Tickets (Master)'!$E$2:$E$227,$B25,'All Tickets (Master)'!$H$2:$H$227,"Ready for Production")</f>
        <v>0</v>
      </c>
      <c r="H25" s="8">
        <f>COUNTIFS('All Tickets (Master)'!$D$2:$D$227,$A25,'All Tickets (Master)'!$E$2:$E$227,$B25,'All Tickets (Master)'!$H$2:$H$227,"Reopened")</f>
        <v>0</v>
      </c>
      <c r="I25" s="8">
        <f>COUNTIFS('All Tickets (Master)'!$D$2:$D$227,$A25,'All Tickets (Master)'!$E$2:$E$227,$B25,'All Tickets (Master)'!$G$2:$G$227,"Highest")</f>
        <v>0</v>
      </c>
      <c r="J25" s="8">
        <f>COUNTIFS('All Tickets (Master)'!$D$2:$D$227,$A25,'All Tickets (Master)'!$E$2:$E$227,$B25,'All Tickets (Master)'!$G$2:$G$227,"High")</f>
        <v>1</v>
      </c>
      <c r="K25" s="8">
        <f>COUNTIFS('All Tickets (Master)'!$D$2:$D$227,$A25,'All Tickets (Master)'!$E$2:$E$227,$B25,'All Tickets (Master)'!$G$2:$G$227,"Medium")</f>
        <v>0</v>
      </c>
      <c r="L25" s="8">
        <f>COUNTIFS('All Tickets (Master)'!$D$2:$D$227,$A25,'All Tickets (Master)'!$E$2:$E$227,$B25,'All Tickets (Master)'!$G$2:$G$227,"Low")</f>
        <v>0</v>
      </c>
      <c r="M25" s="8">
        <f>COUNTIFS('All Tickets (Master)'!$D$2:$D$227,$A25,'All Tickets (Master)'!$E$2:$E$227,$B25,'All Tickets (Master)'!$F$2:$F$227,"FE")</f>
        <v>0</v>
      </c>
      <c r="N25" s="8">
        <f>COUNTIFS('All Tickets (Master)'!$D$2:$D$227,$A25,'All Tickets (Master)'!$E$2:$E$227,$B25,'All Tickets (Master)'!$F$2:$F$227,"BE")</f>
        <v>0</v>
      </c>
    </row>
    <row r="26" spans="1:14" x14ac:dyDescent="0.3">
      <c r="A26" s="3" t="s">
        <v>52</v>
      </c>
      <c r="B26" s="4" t="s">
        <v>62</v>
      </c>
      <c r="C26" s="5">
        <f>COUNTIFS('All Tickets (Master)'!$D$2:$D$227,$A26,'All Tickets (Master)'!$E$2:$E$227,$B26)</f>
        <v>1</v>
      </c>
      <c r="D26" s="5">
        <f>COUNTIFS('All Tickets (Master)'!$D$2:$D$227,$A26,'All Tickets (Master)'!$E$2:$E$227,$B26,'All Tickets (Master)'!$H$2:$H$227,"Backlog")</f>
        <v>0</v>
      </c>
      <c r="E26" s="5">
        <f>COUNTIFS('All Tickets (Master)'!$D$2:$D$227,$A26,'All Tickets (Master)'!$E$2:$E$227,$B26,'All Tickets (Master)'!$H$2:$H$227,"In Progress")</f>
        <v>1</v>
      </c>
      <c r="F26" s="5">
        <f>COUNTIFS('All Tickets (Master)'!$D$2:$D$227,$A26,'All Tickets (Master)'!$E$2:$E$227,$B26,'All Tickets (Master)'!$H$2:$H$227,"In Staging")</f>
        <v>0</v>
      </c>
      <c r="G26" s="5">
        <f>COUNTIFS('All Tickets (Master)'!$D$2:$D$227,$A26,'All Tickets (Master)'!$E$2:$E$227,$B26,'All Tickets (Master)'!$H$2:$H$227,"Ready for Production")</f>
        <v>0</v>
      </c>
      <c r="H26" s="5">
        <f>COUNTIFS('All Tickets (Master)'!$D$2:$D$227,$A26,'All Tickets (Master)'!$E$2:$E$227,$B26,'All Tickets (Master)'!$H$2:$H$227,"Reopened")</f>
        <v>0</v>
      </c>
      <c r="I26" s="5">
        <f>COUNTIFS('All Tickets (Master)'!$D$2:$D$227,$A26,'All Tickets (Master)'!$E$2:$E$227,$B26,'All Tickets (Master)'!$G$2:$G$227,"Highest")</f>
        <v>0</v>
      </c>
      <c r="J26" s="5">
        <f>COUNTIFS('All Tickets (Master)'!$D$2:$D$227,$A26,'All Tickets (Master)'!$E$2:$E$227,$B26,'All Tickets (Master)'!$G$2:$G$227,"High")</f>
        <v>1</v>
      </c>
      <c r="K26" s="5">
        <f>COUNTIFS('All Tickets (Master)'!$D$2:$D$227,$A26,'All Tickets (Master)'!$E$2:$E$227,$B26,'All Tickets (Master)'!$G$2:$G$227,"Medium")</f>
        <v>0</v>
      </c>
      <c r="L26" s="5">
        <f>COUNTIFS('All Tickets (Master)'!$D$2:$D$227,$A26,'All Tickets (Master)'!$E$2:$E$227,$B26,'All Tickets (Master)'!$G$2:$G$227,"Low")</f>
        <v>0</v>
      </c>
      <c r="M26" s="5">
        <f>COUNTIFS('All Tickets (Master)'!$D$2:$D$227,$A26,'All Tickets (Master)'!$E$2:$E$227,$B26,'All Tickets (Master)'!$F$2:$F$227,"FE")</f>
        <v>0</v>
      </c>
      <c r="N26" s="5">
        <f>COUNTIFS('All Tickets (Master)'!$D$2:$D$227,$A26,'All Tickets (Master)'!$E$2:$E$227,$B26,'All Tickets (Master)'!$F$2:$F$227,"BE")</f>
        <v>1</v>
      </c>
    </row>
    <row r="27" spans="1:14" x14ac:dyDescent="0.3">
      <c r="A27" s="6" t="s">
        <v>63</v>
      </c>
      <c r="B27" s="7" t="s">
        <v>64</v>
      </c>
      <c r="C27" s="8">
        <f>COUNTIFS('All Tickets (Master)'!$D$2:$D$227,$A27,'All Tickets (Master)'!$E$2:$E$227,$B27)</f>
        <v>11</v>
      </c>
      <c r="D27" s="8">
        <f>COUNTIFS('All Tickets (Master)'!$D$2:$D$227,$A27,'All Tickets (Master)'!$E$2:$E$227,$B27,'All Tickets (Master)'!$H$2:$H$227,"Backlog")</f>
        <v>10</v>
      </c>
      <c r="E27" s="8">
        <f>COUNTIFS('All Tickets (Master)'!$D$2:$D$227,$A27,'All Tickets (Master)'!$E$2:$E$227,$B27,'All Tickets (Master)'!$H$2:$H$227,"In Progress")</f>
        <v>0</v>
      </c>
      <c r="F27" s="8">
        <f>COUNTIFS('All Tickets (Master)'!$D$2:$D$227,$A27,'All Tickets (Master)'!$E$2:$E$227,$B27,'All Tickets (Master)'!$H$2:$H$227,"In Staging")</f>
        <v>0</v>
      </c>
      <c r="G27" s="8">
        <f>COUNTIFS('All Tickets (Master)'!$D$2:$D$227,$A27,'All Tickets (Master)'!$E$2:$E$227,$B27,'All Tickets (Master)'!$H$2:$H$227,"Ready for Production")</f>
        <v>0</v>
      </c>
      <c r="H27" s="8">
        <f>COUNTIFS('All Tickets (Master)'!$D$2:$D$227,$A27,'All Tickets (Master)'!$E$2:$E$227,$B27,'All Tickets (Master)'!$H$2:$H$227,"Reopened")</f>
        <v>1</v>
      </c>
      <c r="I27" s="8">
        <f>COUNTIFS('All Tickets (Master)'!$D$2:$D$227,$A27,'All Tickets (Master)'!$E$2:$E$227,$B27,'All Tickets (Master)'!$G$2:$G$227,"Highest")</f>
        <v>1</v>
      </c>
      <c r="J27" s="8">
        <f>COUNTIFS('All Tickets (Master)'!$D$2:$D$227,$A27,'All Tickets (Master)'!$E$2:$E$227,$B27,'All Tickets (Master)'!$G$2:$G$227,"High")</f>
        <v>5</v>
      </c>
      <c r="K27" s="8">
        <f>COUNTIFS('All Tickets (Master)'!$D$2:$D$227,$A27,'All Tickets (Master)'!$E$2:$E$227,$B27,'All Tickets (Master)'!$G$2:$G$227,"Medium")</f>
        <v>1</v>
      </c>
      <c r="L27" s="8">
        <f>COUNTIFS('All Tickets (Master)'!$D$2:$D$227,$A27,'All Tickets (Master)'!$E$2:$E$227,$B27,'All Tickets (Master)'!$G$2:$G$227,"Low")</f>
        <v>4</v>
      </c>
      <c r="M27" s="8">
        <f>COUNTIFS('All Tickets (Master)'!$D$2:$D$227,$A27,'All Tickets (Master)'!$E$2:$E$227,$B27,'All Tickets (Master)'!$F$2:$F$227,"FE")</f>
        <v>0</v>
      </c>
      <c r="N27" s="8">
        <f>COUNTIFS('All Tickets (Master)'!$D$2:$D$227,$A27,'All Tickets (Master)'!$E$2:$E$227,$B27,'All Tickets (Master)'!$F$2:$F$227,"BE")</f>
        <v>1</v>
      </c>
    </row>
    <row r="28" spans="1:14" x14ac:dyDescent="0.3">
      <c r="A28" s="3" t="s">
        <v>63</v>
      </c>
      <c r="B28" s="4" t="s">
        <v>65</v>
      </c>
      <c r="C28" s="5">
        <f>COUNTIFS('All Tickets (Master)'!$D$2:$D$227,$A28,'All Tickets (Master)'!$E$2:$E$227,$B28)</f>
        <v>19</v>
      </c>
      <c r="D28" s="5">
        <f>COUNTIFS('All Tickets (Master)'!$D$2:$D$227,$A28,'All Tickets (Master)'!$E$2:$E$227,$B28,'All Tickets (Master)'!$H$2:$H$227,"Backlog")</f>
        <v>13</v>
      </c>
      <c r="E28" s="5">
        <f>COUNTIFS('All Tickets (Master)'!$D$2:$D$227,$A28,'All Tickets (Master)'!$E$2:$E$227,$B28,'All Tickets (Master)'!$H$2:$H$227,"In Progress")</f>
        <v>3</v>
      </c>
      <c r="F28" s="5">
        <f>COUNTIFS('All Tickets (Master)'!$D$2:$D$227,$A28,'All Tickets (Master)'!$E$2:$E$227,$B28,'All Tickets (Master)'!$H$2:$H$227,"In Staging")</f>
        <v>0</v>
      </c>
      <c r="G28" s="5">
        <f>COUNTIFS('All Tickets (Master)'!$D$2:$D$227,$A28,'All Tickets (Master)'!$E$2:$E$227,$B28,'All Tickets (Master)'!$H$2:$H$227,"Ready for Production")</f>
        <v>2</v>
      </c>
      <c r="H28" s="5">
        <f>COUNTIFS('All Tickets (Master)'!$D$2:$D$227,$A28,'All Tickets (Master)'!$E$2:$E$227,$B28,'All Tickets (Master)'!$H$2:$H$227,"Reopened")</f>
        <v>1</v>
      </c>
      <c r="I28" s="5">
        <f>COUNTIFS('All Tickets (Master)'!$D$2:$D$227,$A28,'All Tickets (Master)'!$E$2:$E$227,$B28,'All Tickets (Master)'!$G$2:$G$227,"Highest")</f>
        <v>5</v>
      </c>
      <c r="J28" s="5">
        <f>COUNTIFS('All Tickets (Master)'!$D$2:$D$227,$A28,'All Tickets (Master)'!$E$2:$E$227,$B28,'All Tickets (Master)'!$G$2:$G$227,"High")</f>
        <v>8</v>
      </c>
      <c r="K28" s="5">
        <f>COUNTIFS('All Tickets (Master)'!$D$2:$D$227,$A28,'All Tickets (Master)'!$E$2:$E$227,$B28,'All Tickets (Master)'!$G$2:$G$227,"Medium")</f>
        <v>1</v>
      </c>
      <c r="L28" s="5">
        <f>COUNTIFS('All Tickets (Master)'!$D$2:$D$227,$A28,'All Tickets (Master)'!$E$2:$E$227,$B28,'All Tickets (Master)'!$G$2:$G$227,"Low")</f>
        <v>5</v>
      </c>
      <c r="M28" s="5">
        <f>COUNTIFS('All Tickets (Master)'!$D$2:$D$227,$A28,'All Tickets (Master)'!$E$2:$E$227,$B28,'All Tickets (Master)'!$F$2:$F$227,"FE")</f>
        <v>2</v>
      </c>
      <c r="N28" s="5">
        <f>COUNTIFS('All Tickets (Master)'!$D$2:$D$227,$A28,'All Tickets (Master)'!$E$2:$E$227,$B28,'All Tickets (Master)'!$F$2:$F$227,"BE")</f>
        <v>5</v>
      </c>
    </row>
    <row r="29" spans="1:14" x14ac:dyDescent="0.3">
      <c r="A29" s="6" t="s">
        <v>63</v>
      </c>
      <c r="B29" s="7" t="s">
        <v>66</v>
      </c>
      <c r="C29" s="8">
        <f>COUNTIFS('All Tickets (Master)'!$D$2:$D$227,$A29,'All Tickets (Master)'!$E$2:$E$227,$B29)</f>
        <v>17</v>
      </c>
      <c r="D29" s="8">
        <f>COUNTIFS('All Tickets (Master)'!$D$2:$D$227,$A29,'All Tickets (Master)'!$E$2:$E$227,$B29,'All Tickets (Master)'!$H$2:$H$227,"Backlog")</f>
        <v>16</v>
      </c>
      <c r="E29" s="8">
        <f>COUNTIFS('All Tickets (Master)'!$D$2:$D$227,$A29,'All Tickets (Master)'!$E$2:$E$227,$B29,'All Tickets (Master)'!$H$2:$H$227,"In Progress")</f>
        <v>1</v>
      </c>
      <c r="F29" s="8">
        <f>COUNTIFS('All Tickets (Master)'!$D$2:$D$227,$A29,'All Tickets (Master)'!$E$2:$E$227,$B29,'All Tickets (Master)'!$H$2:$H$227,"In Staging")</f>
        <v>0</v>
      </c>
      <c r="G29" s="8">
        <f>COUNTIFS('All Tickets (Master)'!$D$2:$D$227,$A29,'All Tickets (Master)'!$E$2:$E$227,$B29,'All Tickets (Master)'!$H$2:$H$227,"Ready for Production")</f>
        <v>0</v>
      </c>
      <c r="H29" s="8">
        <f>COUNTIFS('All Tickets (Master)'!$D$2:$D$227,$A29,'All Tickets (Master)'!$E$2:$E$227,$B29,'All Tickets (Master)'!$H$2:$H$227,"Reopened")</f>
        <v>0</v>
      </c>
      <c r="I29" s="8">
        <f>COUNTIFS('All Tickets (Master)'!$D$2:$D$227,$A29,'All Tickets (Master)'!$E$2:$E$227,$B29,'All Tickets (Master)'!$G$2:$G$227,"Highest")</f>
        <v>0</v>
      </c>
      <c r="J29" s="8">
        <f>COUNTIFS('All Tickets (Master)'!$D$2:$D$227,$A29,'All Tickets (Master)'!$E$2:$E$227,$B29,'All Tickets (Master)'!$G$2:$G$227,"High")</f>
        <v>2</v>
      </c>
      <c r="K29" s="8">
        <f>COUNTIFS('All Tickets (Master)'!$D$2:$D$227,$A29,'All Tickets (Master)'!$E$2:$E$227,$B29,'All Tickets (Master)'!$G$2:$G$227,"Medium")</f>
        <v>6</v>
      </c>
      <c r="L29" s="8">
        <f>COUNTIFS('All Tickets (Master)'!$D$2:$D$227,$A29,'All Tickets (Master)'!$E$2:$E$227,$B29,'All Tickets (Master)'!$G$2:$G$227,"Low")</f>
        <v>9</v>
      </c>
      <c r="M29" s="8">
        <f>COUNTIFS('All Tickets (Master)'!$D$2:$D$227,$A29,'All Tickets (Master)'!$E$2:$E$227,$B29,'All Tickets (Master)'!$F$2:$F$227,"FE")</f>
        <v>0</v>
      </c>
      <c r="N29" s="8">
        <f>COUNTIFS('All Tickets (Master)'!$D$2:$D$227,$A29,'All Tickets (Master)'!$E$2:$E$227,$B29,'All Tickets (Master)'!$F$2:$F$227,"BE")</f>
        <v>1</v>
      </c>
    </row>
    <row r="30" spans="1:14" x14ac:dyDescent="0.3">
      <c r="A30" s="3" t="s">
        <v>63</v>
      </c>
      <c r="B30" s="4" t="s">
        <v>67</v>
      </c>
      <c r="C30" s="5">
        <f>COUNTIFS('All Tickets (Master)'!$D$2:$D$227,$A30,'All Tickets (Master)'!$E$2:$E$227,$B30)</f>
        <v>20</v>
      </c>
      <c r="D30" s="5">
        <f>COUNTIFS('All Tickets (Master)'!$D$2:$D$227,$A30,'All Tickets (Master)'!$E$2:$E$227,$B30,'All Tickets (Master)'!$H$2:$H$227,"Backlog")</f>
        <v>19</v>
      </c>
      <c r="E30" s="5">
        <f>COUNTIFS('All Tickets (Master)'!$D$2:$D$227,$A30,'All Tickets (Master)'!$E$2:$E$227,$B30,'All Tickets (Master)'!$H$2:$H$227,"In Progress")</f>
        <v>1</v>
      </c>
      <c r="F30" s="5">
        <f>COUNTIFS('All Tickets (Master)'!$D$2:$D$227,$A30,'All Tickets (Master)'!$E$2:$E$227,$B30,'All Tickets (Master)'!$H$2:$H$227,"In Staging")</f>
        <v>0</v>
      </c>
      <c r="G30" s="5">
        <f>COUNTIFS('All Tickets (Master)'!$D$2:$D$227,$A30,'All Tickets (Master)'!$E$2:$E$227,$B30,'All Tickets (Master)'!$H$2:$H$227,"Ready for Production")</f>
        <v>0</v>
      </c>
      <c r="H30" s="5">
        <f>COUNTIFS('All Tickets (Master)'!$D$2:$D$227,$A30,'All Tickets (Master)'!$E$2:$E$227,$B30,'All Tickets (Master)'!$H$2:$H$227,"Reopened")</f>
        <v>0</v>
      </c>
      <c r="I30" s="5">
        <f>COUNTIFS('All Tickets (Master)'!$D$2:$D$227,$A30,'All Tickets (Master)'!$E$2:$E$227,$B30,'All Tickets (Master)'!$G$2:$G$227,"Highest")</f>
        <v>0</v>
      </c>
      <c r="J30" s="5">
        <f>COUNTIFS('All Tickets (Master)'!$D$2:$D$227,$A30,'All Tickets (Master)'!$E$2:$E$227,$B30,'All Tickets (Master)'!$G$2:$G$227,"High")</f>
        <v>3</v>
      </c>
      <c r="K30" s="5">
        <f>COUNTIFS('All Tickets (Master)'!$D$2:$D$227,$A30,'All Tickets (Master)'!$E$2:$E$227,$B30,'All Tickets (Master)'!$G$2:$G$227,"Medium")</f>
        <v>4</v>
      </c>
      <c r="L30" s="5">
        <f>COUNTIFS('All Tickets (Master)'!$D$2:$D$227,$A30,'All Tickets (Master)'!$E$2:$E$227,$B30,'All Tickets (Master)'!$G$2:$G$227,"Low")</f>
        <v>13</v>
      </c>
      <c r="M30" s="5">
        <f>COUNTIFS('All Tickets (Master)'!$D$2:$D$227,$A30,'All Tickets (Master)'!$E$2:$E$227,$B30,'All Tickets (Master)'!$F$2:$F$227,"FE")</f>
        <v>2</v>
      </c>
      <c r="N30" s="5">
        <f>COUNTIFS('All Tickets (Master)'!$D$2:$D$227,$A30,'All Tickets (Master)'!$E$2:$E$227,$B30,'All Tickets (Master)'!$F$2:$F$227,"BE")</f>
        <v>5</v>
      </c>
    </row>
    <row r="31" spans="1:14" x14ac:dyDescent="0.3">
      <c r="A31" s="6" t="s">
        <v>17</v>
      </c>
      <c r="B31" s="7" t="s">
        <v>68</v>
      </c>
      <c r="C31" s="8">
        <f>COUNTIFS('All Tickets (Master)'!$D$2:$D$227,$A31,'All Tickets (Master)'!$E$2:$E$227,$B31)</f>
        <v>28</v>
      </c>
      <c r="D31" s="8">
        <f>COUNTIFS('All Tickets (Master)'!$D$2:$D$227,$A31,'All Tickets (Master)'!$E$2:$E$227,$B31,'All Tickets (Master)'!$H$2:$H$227,"Backlog")</f>
        <v>22</v>
      </c>
      <c r="E31" s="8">
        <f>COUNTIFS('All Tickets (Master)'!$D$2:$D$227,$A31,'All Tickets (Master)'!$E$2:$E$227,$B31,'All Tickets (Master)'!$H$2:$H$227,"In Progress")</f>
        <v>4</v>
      </c>
      <c r="F31" s="8">
        <f>COUNTIFS('All Tickets (Master)'!$D$2:$D$227,$A31,'All Tickets (Master)'!$E$2:$E$227,$B31,'All Tickets (Master)'!$H$2:$H$227,"In Staging")</f>
        <v>0</v>
      </c>
      <c r="G31" s="8">
        <f>COUNTIFS('All Tickets (Master)'!$D$2:$D$227,$A31,'All Tickets (Master)'!$E$2:$E$227,$B31,'All Tickets (Master)'!$H$2:$H$227,"Ready for Production")</f>
        <v>1</v>
      </c>
      <c r="H31" s="8">
        <f>COUNTIFS('All Tickets (Master)'!$D$2:$D$227,$A31,'All Tickets (Master)'!$E$2:$E$227,$B31,'All Tickets (Master)'!$H$2:$H$227,"Reopened")</f>
        <v>1</v>
      </c>
      <c r="I31" s="8">
        <f>COUNTIFS('All Tickets (Master)'!$D$2:$D$227,$A31,'All Tickets (Master)'!$E$2:$E$227,$B31,'All Tickets (Master)'!$G$2:$G$227,"Highest")</f>
        <v>2</v>
      </c>
      <c r="J31" s="8">
        <f>COUNTIFS('All Tickets (Master)'!$D$2:$D$227,$A31,'All Tickets (Master)'!$E$2:$E$227,$B31,'All Tickets (Master)'!$G$2:$G$227,"High")</f>
        <v>14</v>
      </c>
      <c r="K31" s="8">
        <f>COUNTIFS('All Tickets (Master)'!$D$2:$D$227,$A31,'All Tickets (Master)'!$E$2:$E$227,$B31,'All Tickets (Master)'!$G$2:$G$227,"Medium")</f>
        <v>6</v>
      </c>
      <c r="L31" s="8">
        <f>COUNTIFS('All Tickets (Master)'!$D$2:$D$227,$A31,'All Tickets (Master)'!$E$2:$E$227,$B31,'All Tickets (Master)'!$G$2:$G$227,"Low")</f>
        <v>6</v>
      </c>
      <c r="M31" s="8">
        <f>COUNTIFS('All Tickets (Master)'!$D$2:$D$227,$A31,'All Tickets (Master)'!$E$2:$E$227,$B31,'All Tickets (Master)'!$F$2:$F$227,"FE")</f>
        <v>1</v>
      </c>
      <c r="N31" s="8">
        <f>COUNTIFS('All Tickets (Master)'!$D$2:$D$227,$A31,'All Tickets (Master)'!$E$2:$E$227,$B31,'All Tickets (Master)'!$F$2:$F$227,"BE")</f>
        <v>4</v>
      </c>
    </row>
    <row r="32" spans="1:14" x14ac:dyDescent="0.3">
      <c r="A32" s="9"/>
      <c r="B32" s="9" t="s">
        <v>69</v>
      </c>
      <c r="C32" s="9">
        <f t="shared" ref="C32:N32" si="0">SUM(C4:C31)</f>
        <v>225</v>
      </c>
      <c r="D32" s="9">
        <f t="shared" si="0"/>
        <v>181</v>
      </c>
      <c r="E32" s="9">
        <f t="shared" si="0"/>
        <v>21</v>
      </c>
      <c r="F32" s="9">
        <f t="shared" si="0"/>
        <v>6</v>
      </c>
      <c r="G32" s="9">
        <f t="shared" si="0"/>
        <v>8</v>
      </c>
      <c r="H32" s="9">
        <f t="shared" si="0"/>
        <v>9</v>
      </c>
      <c r="I32" s="9">
        <f t="shared" si="0"/>
        <v>30</v>
      </c>
      <c r="J32" s="9">
        <f t="shared" si="0"/>
        <v>111</v>
      </c>
      <c r="K32" s="9">
        <f t="shared" si="0"/>
        <v>33</v>
      </c>
      <c r="L32" s="9">
        <f t="shared" si="0"/>
        <v>51</v>
      </c>
      <c r="M32" s="9">
        <f t="shared" si="0"/>
        <v>9</v>
      </c>
      <c r="N32" s="9">
        <f t="shared" si="0"/>
        <v>29</v>
      </c>
    </row>
  </sheetData>
  <mergeCells count="1">
    <mergeCell ref="A1:M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37"/>
  <sheetViews>
    <sheetView showGridLines="0" zoomScaleNormal="100" workbookViewId="0">
      <pane ySplit="1" topLeftCell="A210" activePane="bottomLeft" state="frozen"/>
      <selection pane="bottomLeft" activeCell="A236" sqref="A236:XFD236"/>
    </sheetView>
  </sheetViews>
  <sheetFormatPr defaultColWidth="8.6640625" defaultRowHeight="14.4" x14ac:dyDescent="0.3"/>
  <cols>
    <col min="1" max="1" width="11" customWidth="1"/>
    <col min="2" max="2" width="9" customWidth="1"/>
    <col min="3" max="3" width="62" style="27" customWidth="1"/>
    <col min="4" max="4" width="18" style="38" customWidth="1"/>
    <col min="5" max="5" width="24" style="38" customWidth="1"/>
    <col min="6" max="6" width="22.109375" style="38" customWidth="1"/>
    <col min="7" max="7" width="10" style="38" customWidth="1"/>
    <col min="8" max="9" width="20" customWidth="1"/>
    <col min="10" max="10" width="18" customWidth="1"/>
    <col min="11" max="11" width="14.77734375" customWidth="1"/>
    <col min="12" max="12" width="15.109375" customWidth="1"/>
    <col min="13" max="13" width="22" customWidth="1"/>
  </cols>
  <sheetData>
    <row r="1" spans="1:13" x14ac:dyDescent="0.3">
      <c r="A1" s="2" t="s">
        <v>70</v>
      </c>
      <c r="B1" s="2" t="s">
        <v>71</v>
      </c>
      <c r="C1" s="63" t="s">
        <v>72</v>
      </c>
      <c r="D1" s="2" t="s">
        <v>24</v>
      </c>
      <c r="E1" s="2" t="s">
        <v>25</v>
      </c>
      <c r="F1" s="2" t="s">
        <v>73</v>
      </c>
      <c r="G1" s="2" t="s">
        <v>74</v>
      </c>
      <c r="H1" s="2" t="s">
        <v>75</v>
      </c>
      <c r="I1" s="2" t="s">
        <v>76</v>
      </c>
      <c r="J1" s="2" t="s">
        <v>77</v>
      </c>
      <c r="K1" s="2" t="s">
        <v>78</v>
      </c>
      <c r="L1" s="2" t="s">
        <v>79</v>
      </c>
      <c r="M1" s="2" t="s">
        <v>80</v>
      </c>
    </row>
    <row r="2" spans="1:13" ht="26.4" x14ac:dyDescent="0.3">
      <c r="A2" s="8" t="s">
        <v>582</v>
      </c>
      <c r="B2" s="8" t="s">
        <v>100</v>
      </c>
      <c r="C2" s="10" t="s">
        <v>583</v>
      </c>
      <c r="D2" s="8" t="s">
        <v>63</v>
      </c>
      <c r="E2" s="8" t="s">
        <v>67</v>
      </c>
      <c r="F2" s="15" t="s">
        <v>37</v>
      </c>
      <c r="G2" s="17" t="s">
        <v>34</v>
      </c>
      <c r="H2" s="13" t="s">
        <v>27</v>
      </c>
      <c r="I2" s="14" t="s">
        <v>92</v>
      </c>
      <c r="J2" s="14" t="s">
        <v>115</v>
      </c>
      <c r="K2" s="8" t="s">
        <v>584</v>
      </c>
      <c r="L2" s="8" t="s">
        <v>584</v>
      </c>
      <c r="M2" s="8" t="s">
        <v>117</v>
      </c>
    </row>
    <row r="3" spans="1:13" ht="26.4" x14ac:dyDescent="0.3">
      <c r="A3" s="8" t="s">
        <v>585</v>
      </c>
      <c r="B3" s="8" t="s">
        <v>100</v>
      </c>
      <c r="C3" s="10" t="s">
        <v>586</v>
      </c>
      <c r="D3" s="8" t="s">
        <v>63</v>
      </c>
      <c r="E3" s="8" t="s">
        <v>67</v>
      </c>
      <c r="F3" s="16" t="s">
        <v>36</v>
      </c>
      <c r="G3" s="17" t="s">
        <v>34</v>
      </c>
      <c r="H3" s="13" t="s">
        <v>27</v>
      </c>
      <c r="I3" s="14" t="s">
        <v>115</v>
      </c>
      <c r="J3" s="14" t="s">
        <v>115</v>
      </c>
      <c r="K3" s="8" t="s">
        <v>584</v>
      </c>
      <c r="L3" s="8" t="s">
        <v>175</v>
      </c>
      <c r="M3" s="8" t="s">
        <v>117</v>
      </c>
    </row>
    <row r="4" spans="1:13" ht="26.4" x14ac:dyDescent="0.3">
      <c r="A4" s="8" t="s">
        <v>658</v>
      </c>
      <c r="B4" s="8" t="s">
        <v>100</v>
      </c>
      <c r="C4" s="10" t="s">
        <v>659</v>
      </c>
      <c r="D4" s="8" t="s">
        <v>17</v>
      </c>
      <c r="E4" s="8" t="s">
        <v>68</v>
      </c>
      <c r="F4" s="11" t="s">
        <v>83</v>
      </c>
      <c r="G4" s="17" t="s">
        <v>34</v>
      </c>
      <c r="H4" s="13" t="s">
        <v>27</v>
      </c>
      <c r="I4" s="14"/>
      <c r="J4" s="14" t="s">
        <v>115</v>
      </c>
      <c r="K4" s="8" t="s">
        <v>660</v>
      </c>
      <c r="L4" s="8" t="s">
        <v>661</v>
      </c>
      <c r="M4" s="8"/>
    </row>
    <row r="5" spans="1:13" ht="26.4" x14ac:dyDescent="0.3">
      <c r="A5" s="8" t="s">
        <v>113</v>
      </c>
      <c r="B5" s="8" t="s">
        <v>100</v>
      </c>
      <c r="C5" s="10" t="s">
        <v>114</v>
      </c>
      <c r="D5" s="8" t="s">
        <v>38</v>
      </c>
      <c r="E5" s="8" t="s">
        <v>40</v>
      </c>
      <c r="F5" s="15" t="s">
        <v>37</v>
      </c>
      <c r="G5" s="17" t="s">
        <v>34</v>
      </c>
      <c r="H5" s="13" t="s">
        <v>27</v>
      </c>
      <c r="I5" s="14" t="s">
        <v>92</v>
      </c>
      <c r="J5" s="14" t="s">
        <v>115</v>
      </c>
      <c r="K5" s="8" t="s">
        <v>116</v>
      </c>
      <c r="L5" s="8" t="s">
        <v>116</v>
      </c>
      <c r="M5" s="8" t="s">
        <v>117</v>
      </c>
    </row>
    <row r="6" spans="1:13" ht="26.4" x14ac:dyDescent="0.3">
      <c r="A6" s="8" t="s">
        <v>118</v>
      </c>
      <c r="B6" s="8" t="s">
        <v>100</v>
      </c>
      <c r="C6" s="10" t="s">
        <v>119</v>
      </c>
      <c r="D6" s="8" t="s">
        <v>38</v>
      </c>
      <c r="E6" s="8" t="s">
        <v>40</v>
      </c>
      <c r="F6" s="15" t="s">
        <v>37</v>
      </c>
      <c r="G6" s="15" t="s">
        <v>35</v>
      </c>
      <c r="H6" s="13" t="s">
        <v>27</v>
      </c>
      <c r="I6" s="14" t="s">
        <v>92</v>
      </c>
      <c r="J6" s="14" t="s">
        <v>115</v>
      </c>
      <c r="K6" s="8" t="s">
        <v>116</v>
      </c>
      <c r="L6" s="8" t="s">
        <v>116</v>
      </c>
      <c r="M6" s="8" t="s">
        <v>117</v>
      </c>
    </row>
    <row r="7" spans="1:13" ht="26.4" x14ac:dyDescent="0.3">
      <c r="A7" s="8" t="s">
        <v>610</v>
      </c>
      <c r="B7" s="8" t="s">
        <v>100</v>
      </c>
      <c r="C7" s="10" t="s">
        <v>611</v>
      </c>
      <c r="D7" s="8" t="s">
        <v>63</v>
      </c>
      <c r="E7" s="8" t="s">
        <v>67</v>
      </c>
      <c r="F7" s="15" t="s">
        <v>37</v>
      </c>
      <c r="G7" s="15" t="s">
        <v>35</v>
      </c>
      <c r="H7" s="13" t="s">
        <v>27</v>
      </c>
      <c r="I7" s="14" t="s">
        <v>92</v>
      </c>
      <c r="J7" s="14" t="s">
        <v>115</v>
      </c>
      <c r="K7" s="8" t="s">
        <v>116</v>
      </c>
      <c r="L7" s="8" t="s">
        <v>116</v>
      </c>
      <c r="M7" s="8" t="s">
        <v>117</v>
      </c>
    </row>
    <row r="8" spans="1:13" ht="26.4" x14ac:dyDescent="0.3">
      <c r="A8" s="8" t="s">
        <v>612</v>
      </c>
      <c r="B8" s="8" t="s">
        <v>100</v>
      </c>
      <c r="C8" s="10" t="s">
        <v>613</v>
      </c>
      <c r="D8" s="8" t="s">
        <v>63</v>
      </c>
      <c r="E8" s="8" t="s">
        <v>67</v>
      </c>
      <c r="F8" s="16" t="s">
        <v>36</v>
      </c>
      <c r="G8" s="15" t="s">
        <v>35</v>
      </c>
      <c r="H8" s="13" t="s">
        <v>27</v>
      </c>
      <c r="I8" s="14" t="s">
        <v>115</v>
      </c>
      <c r="J8" s="14" t="s">
        <v>115</v>
      </c>
      <c r="K8" s="8" t="s">
        <v>116</v>
      </c>
      <c r="L8" s="8" t="s">
        <v>175</v>
      </c>
      <c r="M8" s="8" t="s">
        <v>117</v>
      </c>
    </row>
    <row r="9" spans="1:13" ht="26.4" x14ac:dyDescent="0.3">
      <c r="A9" s="8" t="s">
        <v>614</v>
      </c>
      <c r="B9" s="8" t="s">
        <v>100</v>
      </c>
      <c r="C9" s="10" t="s">
        <v>615</v>
      </c>
      <c r="D9" s="8" t="s">
        <v>63</v>
      </c>
      <c r="E9" s="8" t="s">
        <v>67</v>
      </c>
      <c r="F9" s="15" t="s">
        <v>37</v>
      </c>
      <c r="G9" s="15" t="s">
        <v>35</v>
      </c>
      <c r="H9" s="13" t="s">
        <v>27</v>
      </c>
      <c r="I9" s="14" t="s">
        <v>92</v>
      </c>
      <c r="J9" s="14" t="s">
        <v>115</v>
      </c>
      <c r="K9" s="8" t="s">
        <v>116</v>
      </c>
      <c r="L9" s="8" t="s">
        <v>116</v>
      </c>
      <c r="M9" s="8" t="s">
        <v>117</v>
      </c>
    </row>
    <row r="10" spans="1:13" ht="26.4" x14ac:dyDescent="0.3">
      <c r="A10" s="8" t="s">
        <v>209</v>
      </c>
      <c r="B10" s="8" t="s">
        <v>100</v>
      </c>
      <c r="C10" s="10" t="s">
        <v>210</v>
      </c>
      <c r="D10" s="8" t="s">
        <v>44</v>
      </c>
      <c r="E10" s="8" t="s">
        <v>45</v>
      </c>
      <c r="F10" s="15" t="s">
        <v>37</v>
      </c>
      <c r="G10" s="17" t="s">
        <v>34</v>
      </c>
      <c r="H10" s="13" t="s">
        <v>27</v>
      </c>
      <c r="I10" s="14" t="s">
        <v>92</v>
      </c>
      <c r="J10" s="14" t="s">
        <v>115</v>
      </c>
      <c r="K10" s="8" t="s">
        <v>211</v>
      </c>
      <c r="L10" s="8" t="s">
        <v>211</v>
      </c>
      <c r="M10" s="8" t="s">
        <v>212</v>
      </c>
    </row>
    <row r="11" spans="1:13" ht="26.4" x14ac:dyDescent="0.3">
      <c r="A11" s="8" t="s">
        <v>213</v>
      </c>
      <c r="B11" s="8" t="s">
        <v>100</v>
      </c>
      <c r="C11" s="10" t="s">
        <v>214</v>
      </c>
      <c r="D11" s="8" t="s">
        <v>44</v>
      </c>
      <c r="E11" s="8" t="s">
        <v>45</v>
      </c>
      <c r="F11" s="11" t="s">
        <v>83</v>
      </c>
      <c r="G11" s="17" t="s">
        <v>34</v>
      </c>
      <c r="H11" s="13" t="s">
        <v>27</v>
      </c>
      <c r="I11" s="14" t="s">
        <v>115</v>
      </c>
      <c r="J11" s="14" t="s">
        <v>85</v>
      </c>
      <c r="K11" s="8" t="s">
        <v>215</v>
      </c>
      <c r="L11" s="8" t="s">
        <v>175</v>
      </c>
      <c r="M11" s="8" t="s">
        <v>216</v>
      </c>
    </row>
    <row r="12" spans="1:13" x14ac:dyDescent="0.3">
      <c r="A12" s="8" t="s">
        <v>662</v>
      </c>
      <c r="B12" s="8" t="s">
        <v>100</v>
      </c>
      <c r="C12" s="10" t="s">
        <v>663</v>
      </c>
      <c r="D12" s="8" t="s">
        <v>17</v>
      </c>
      <c r="E12" s="8" t="s">
        <v>68</v>
      </c>
      <c r="F12" s="11" t="s">
        <v>83</v>
      </c>
      <c r="G12" s="17" t="s">
        <v>34</v>
      </c>
      <c r="H12" s="13" t="s">
        <v>27</v>
      </c>
      <c r="I12" s="14" t="s">
        <v>92</v>
      </c>
      <c r="J12" s="14" t="s">
        <v>92</v>
      </c>
      <c r="K12" s="8" t="s">
        <v>664</v>
      </c>
      <c r="L12" s="8" t="s">
        <v>103</v>
      </c>
      <c r="M12" s="8" t="s">
        <v>176</v>
      </c>
    </row>
    <row r="13" spans="1:13" ht="26.4" x14ac:dyDescent="0.3">
      <c r="A13" s="8" t="s">
        <v>191</v>
      </c>
      <c r="B13" s="8" t="s">
        <v>163</v>
      </c>
      <c r="C13" s="10" t="s">
        <v>192</v>
      </c>
      <c r="D13" s="8" t="s">
        <v>44</v>
      </c>
      <c r="E13" s="8" t="s">
        <v>45</v>
      </c>
      <c r="F13" s="11" t="s">
        <v>83</v>
      </c>
      <c r="G13" s="18" t="s">
        <v>32</v>
      </c>
      <c r="H13" s="12" t="s">
        <v>31</v>
      </c>
      <c r="I13" s="14" t="s">
        <v>92</v>
      </c>
      <c r="J13" s="14" t="s">
        <v>85</v>
      </c>
      <c r="K13" s="8" t="s">
        <v>193</v>
      </c>
      <c r="L13" s="8" t="s">
        <v>194</v>
      </c>
      <c r="M13" s="8"/>
    </row>
    <row r="14" spans="1:13" ht="39.6" x14ac:dyDescent="0.3">
      <c r="A14" s="8" t="s">
        <v>519</v>
      </c>
      <c r="B14" s="8" t="s">
        <v>100</v>
      </c>
      <c r="C14" s="10" t="s">
        <v>520</v>
      </c>
      <c r="D14" s="8" t="s">
        <v>63</v>
      </c>
      <c r="E14" s="8" t="s">
        <v>65</v>
      </c>
      <c r="F14" s="15" t="s">
        <v>37</v>
      </c>
      <c r="G14" s="17" t="s">
        <v>34</v>
      </c>
      <c r="H14" s="13" t="s">
        <v>27</v>
      </c>
      <c r="I14" s="14" t="s">
        <v>92</v>
      </c>
      <c r="J14" s="14" t="s">
        <v>92</v>
      </c>
      <c r="K14" s="8" t="s">
        <v>521</v>
      </c>
      <c r="L14" s="8" t="s">
        <v>103</v>
      </c>
      <c r="M14" s="8" t="s">
        <v>176</v>
      </c>
    </row>
    <row r="15" spans="1:13" x14ac:dyDescent="0.3">
      <c r="A15" s="8" t="s">
        <v>472</v>
      </c>
      <c r="B15" s="8" t="s">
        <v>163</v>
      </c>
      <c r="C15" s="10" t="s">
        <v>473</v>
      </c>
      <c r="D15" s="8" t="s">
        <v>63</v>
      </c>
      <c r="E15" s="8" t="s">
        <v>64</v>
      </c>
      <c r="F15" s="11" t="s">
        <v>83</v>
      </c>
      <c r="G15" s="12" t="s">
        <v>33</v>
      </c>
      <c r="H15" s="13" t="s">
        <v>27</v>
      </c>
      <c r="I15" s="14"/>
      <c r="J15" s="14" t="s">
        <v>85</v>
      </c>
      <c r="K15" s="8" t="s">
        <v>474</v>
      </c>
      <c r="L15" s="8" t="s">
        <v>166</v>
      </c>
      <c r="M15" s="8" t="s">
        <v>176</v>
      </c>
    </row>
    <row r="16" spans="1:13" ht="26.4" x14ac:dyDescent="0.3">
      <c r="A16" s="8" t="s">
        <v>647</v>
      </c>
      <c r="B16" s="8" t="s">
        <v>100</v>
      </c>
      <c r="C16" s="10" t="s">
        <v>648</v>
      </c>
      <c r="D16" s="8" t="s">
        <v>17</v>
      </c>
      <c r="E16" s="8" t="s">
        <v>68</v>
      </c>
      <c r="F16" s="11" t="s">
        <v>83</v>
      </c>
      <c r="G16" s="12" t="s">
        <v>33</v>
      </c>
      <c r="H16" s="13" t="s">
        <v>27</v>
      </c>
      <c r="I16" s="14" t="s">
        <v>115</v>
      </c>
      <c r="J16" s="14" t="s">
        <v>115</v>
      </c>
      <c r="K16" s="8" t="s">
        <v>649</v>
      </c>
      <c r="L16" s="8" t="s">
        <v>649</v>
      </c>
      <c r="M16" s="8" t="s">
        <v>216</v>
      </c>
    </row>
    <row r="17" spans="1:13" x14ac:dyDescent="0.3">
      <c r="A17" s="8" t="s">
        <v>650</v>
      </c>
      <c r="B17" s="8" t="s">
        <v>100</v>
      </c>
      <c r="C17" s="10" t="s">
        <v>651</v>
      </c>
      <c r="D17" s="8" t="s">
        <v>17</v>
      </c>
      <c r="E17" s="8" t="s">
        <v>68</v>
      </c>
      <c r="F17" s="11" t="s">
        <v>83</v>
      </c>
      <c r="G17" s="12" t="s">
        <v>33</v>
      </c>
      <c r="H17" s="16" t="s">
        <v>28</v>
      </c>
      <c r="I17" s="14" t="s">
        <v>92</v>
      </c>
      <c r="J17" s="14" t="s">
        <v>92</v>
      </c>
      <c r="K17" s="8" t="s">
        <v>649</v>
      </c>
      <c r="L17" s="8" t="s">
        <v>103</v>
      </c>
      <c r="M17" s="8" t="s">
        <v>104</v>
      </c>
    </row>
    <row r="18" spans="1:13" ht="26.4" x14ac:dyDescent="0.3">
      <c r="A18" s="8" t="s">
        <v>665</v>
      </c>
      <c r="B18" s="8" t="s">
        <v>100</v>
      </c>
      <c r="C18" s="10" t="s">
        <v>666</v>
      </c>
      <c r="D18" s="8" t="s">
        <v>17</v>
      </c>
      <c r="E18" s="8" t="s">
        <v>68</v>
      </c>
      <c r="F18" s="11" t="s">
        <v>83</v>
      </c>
      <c r="G18" s="17" t="s">
        <v>34</v>
      </c>
      <c r="H18" s="13" t="s">
        <v>27</v>
      </c>
      <c r="I18" s="14" t="s">
        <v>115</v>
      </c>
      <c r="J18" s="14" t="s">
        <v>115</v>
      </c>
      <c r="K18" s="8" t="s">
        <v>649</v>
      </c>
      <c r="L18" s="8" t="s">
        <v>649</v>
      </c>
      <c r="M18" s="8" t="s">
        <v>176</v>
      </c>
    </row>
    <row r="19" spans="1:13" x14ac:dyDescent="0.3">
      <c r="A19" s="8" t="s">
        <v>667</v>
      </c>
      <c r="B19" s="8" t="s">
        <v>100</v>
      </c>
      <c r="C19" s="10" t="s">
        <v>668</v>
      </c>
      <c r="D19" s="8" t="s">
        <v>17</v>
      </c>
      <c r="E19" s="8" t="s">
        <v>68</v>
      </c>
      <c r="F19" s="11" t="s">
        <v>83</v>
      </c>
      <c r="G19" s="17" t="s">
        <v>34</v>
      </c>
      <c r="H19" s="13" t="s">
        <v>27</v>
      </c>
      <c r="I19" s="14" t="s">
        <v>92</v>
      </c>
      <c r="J19" s="14" t="s">
        <v>92</v>
      </c>
      <c r="K19" s="8" t="s">
        <v>649</v>
      </c>
      <c r="L19" s="8" t="s">
        <v>103</v>
      </c>
      <c r="M19" s="8" t="s">
        <v>176</v>
      </c>
    </row>
    <row r="20" spans="1:13" x14ac:dyDescent="0.3">
      <c r="A20" s="8" t="s">
        <v>669</v>
      </c>
      <c r="B20" s="8" t="s">
        <v>100</v>
      </c>
      <c r="C20" s="10" t="s">
        <v>670</v>
      </c>
      <c r="D20" s="8" t="s">
        <v>17</v>
      </c>
      <c r="E20" s="8" t="s">
        <v>68</v>
      </c>
      <c r="F20" s="15" t="s">
        <v>37</v>
      </c>
      <c r="G20" s="17" t="s">
        <v>34</v>
      </c>
      <c r="H20" s="16" t="s">
        <v>28</v>
      </c>
      <c r="I20" s="14" t="s">
        <v>92</v>
      </c>
      <c r="J20" s="14" t="s">
        <v>92</v>
      </c>
      <c r="K20" s="8" t="s">
        <v>649</v>
      </c>
      <c r="L20" s="8" t="s">
        <v>103</v>
      </c>
      <c r="M20" s="8" t="s">
        <v>104</v>
      </c>
    </row>
    <row r="21" spans="1:13" ht="26.4" x14ac:dyDescent="0.3">
      <c r="A21" s="8" t="s">
        <v>359</v>
      </c>
      <c r="B21" s="8" t="s">
        <v>100</v>
      </c>
      <c r="C21" s="10" t="s">
        <v>360</v>
      </c>
      <c r="D21" s="8" t="s">
        <v>44</v>
      </c>
      <c r="E21" s="8" t="s">
        <v>50</v>
      </c>
      <c r="F21" s="11" t="s">
        <v>83</v>
      </c>
      <c r="G21" s="15" t="s">
        <v>35</v>
      </c>
      <c r="H21" s="13" t="s">
        <v>27</v>
      </c>
      <c r="I21" s="14"/>
      <c r="J21" s="14" t="s">
        <v>85</v>
      </c>
      <c r="K21" s="8" t="s">
        <v>361</v>
      </c>
      <c r="L21" s="8" t="s">
        <v>361</v>
      </c>
      <c r="M21" s="8" t="s">
        <v>216</v>
      </c>
    </row>
    <row r="22" spans="1:13" x14ac:dyDescent="0.3">
      <c r="A22" s="8" t="s">
        <v>549</v>
      </c>
      <c r="B22" s="8" t="s">
        <v>100</v>
      </c>
      <c r="C22" s="10" t="s">
        <v>550</v>
      </c>
      <c r="D22" s="8" t="s">
        <v>63</v>
      </c>
      <c r="E22" s="8" t="s">
        <v>66</v>
      </c>
      <c r="F22" s="15" t="s">
        <v>37</v>
      </c>
      <c r="G22" s="17" t="s">
        <v>34</v>
      </c>
      <c r="H22" s="16" t="s">
        <v>28</v>
      </c>
      <c r="I22" s="14" t="s">
        <v>92</v>
      </c>
      <c r="J22" s="14" t="s">
        <v>92</v>
      </c>
      <c r="K22" s="8" t="s">
        <v>551</v>
      </c>
      <c r="L22" s="8" t="s">
        <v>103</v>
      </c>
      <c r="M22" s="8" t="s">
        <v>104</v>
      </c>
    </row>
    <row r="23" spans="1:13" ht="26.4" x14ac:dyDescent="0.3">
      <c r="A23" s="8" t="s">
        <v>618</v>
      </c>
      <c r="B23" s="8" t="s">
        <v>100</v>
      </c>
      <c r="C23" s="10" t="s">
        <v>619</v>
      </c>
      <c r="D23" s="8" t="s">
        <v>17</v>
      </c>
      <c r="E23" s="8" t="s">
        <v>68</v>
      </c>
      <c r="F23" s="11" t="s">
        <v>83</v>
      </c>
      <c r="G23" s="18" t="s">
        <v>32</v>
      </c>
      <c r="H23" s="12" t="s">
        <v>31</v>
      </c>
      <c r="I23" s="14" t="s">
        <v>115</v>
      </c>
      <c r="J23" s="14" t="s">
        <v>620</v>
      </c>
      <c r="K23" s="8" t="s">
        <v>194</v>
      </c>
      <c r="L23" s="8" t="s">
        <v>175</v>
      </c>
      <c r="M23" s="8"/>
    </row>
    <row r="24" spans="1:13" ht="26.4" x14ac:dyDescent="0.3">
      <c r="A24" s="8" t="s">
        <v>204</v>
      </c>
      <c r="B24" s="8" t="s">
        <v>205</v>
      </c>
      <c r="C24" s="10" t="s">
        <v>206</v>
      </c>
      <c r="D24" s="8" t="s">
        <v>44</v>
      </c>
      <c r="E24" s="8" t="s">
        <v>45</v>
      </c>
      <c r="F24" s="15" t="s">
        <v>37</v>
      </c>
      <c r="G24" s="12" t="s">
        <v>33</v>
      </c>
      <c r="H24" s="16" t="s">
        <v>28</v>
      </c>
      <c r="I24" s="14" t="s">
        <v>92</v>
      </c>
      <c r="J24" s="14" t="s">
        <v>115</v>
      </c>
      <c r="K24" s="8" t="s">
        <v>207</v>
      </c>
      <c r="L24" s="8" t="s">
        <v>208</v>
      </c>
      <c r="M24" s="8" t="s">
        <v>104</v>
      </c>
    </row>
    <row r="25" spans="1:13" ht="26.4" x14ac:dyDescent="0.3">
      <c r="A25" s="8" t="s">
        <v>331</v>
      </c>
      <c r="B25" s="8" t="s">
        <v>100</v>
      </c>
      <c r="C25" s="10" t="s">
        <v>332</v>
      </c>
      <c r="D25" s="8" t="s">
        <v>44</v>
      </c>
      <c r="E25" s="8" t="s">
        <v>50</v>
      </c>
      <c r="F25" s="11" t="s">
        <v>83</v>
      </c>
      <c r="G25" s="12" t="s">
        <v>33</v>
      </c>
      <c r="H25" s="19" t="s">
        <v>257</v>
      </c>
      <c r="I25" s="14" t="s">
        <v>92</v>
      </c>
      <c r="J25" s="14" t="s">
        <v>85</v>
      </c>
      <c r="K25" s="8" t="s">
        <v>333</v>
      </c>
      <c r="L25" s="8" t="s">
        <v>180</v>
      </c>
      <c r="M25" s="8" t="s">
        <v>104</v>
      </c>
    </row>
    <row r="26" spans="1:13" ht="26.4" x14ac:dyDescent="0.3">
      <c r="A26" s="8" t="s">
        <v>172</v>
      </c>
      <c r="B26" s="8" t="s">
        <v>163</v>
      </c>
      <c r="C26" s="10" t="s">
        <v>173</v>
      </c>
      <c r="D26" s="8" t="s">
        <v>38</v>
      </c>
      <c r="E26" s="8" t="s">
        <v>42</v>
      </c>
      <c r="F26" s="11" t="s">
        <v>83</v>
      </c>
      <c r="G26" s="12" t="s">
        <v>33</v>
      </c>
      <c r="H26" s="13" t="s">
        <v>27</v>
      </c>
      <c r="I26" s="14" t="s">
        <v>115</v>
      </c>
      <c r="J26" s="14" t="s">
        <v>85</v>
      </c>
      <c r="K26" s="8" t="s">
        <v>174</v>
      </c>
      <c r="L26" s="8" t="s">
        <v>175</v>
      </c>
      <c r="M26" s="8" t="s">
        <v>176</v>
      </c>
    </row>
    <row r="27" spans="1:13" ht="26.4" x14ac:dyDescent="0.3">
      <c r="A27" s="8" t="s">
        <v>574</v>
      </c>
      <c r="B27" s="8" t="s">
        <v>205</v>
      </c>
      <c r="C27" s="10" t="s">
        <v>575</v>
      </c>
      <c r="D27" s="8" t="s">
        <v>63</v>
      </c>
      <c r="E27" s="8" t="s">
        <v>67</v>
      </c>
      <c r="F27" s="11" t="s">
        <v>83</v>
      </c>
      <c r="G27" s="12" t="s">
        <v>33</v>
      </c>
      <c r="H27" s="13" t="s">
        <v>27</v>
      </c>
      <c r="I27" s="14" t="s">
        <v>92</v>
      </c>
      <c r="J27" s="14" t="s">
        <v>115</v>
      </c>
      <c r="K27" s="8" t="s">
        <v>576</v>
      </c>
      <c r="L27" s="8" t="s">
        <v>103</v>
      </c>
      <c r="M27" s="8" t="s">
        <v>176</v>
      </c>
    </row>
    <row r="28" spans="1:13" x14ac:dyDescent="0.3">
      <c r="A28" s="8" t="s">
        <v>99</v>
      </c>
      <c r="B28" s="8" t="s">
        <v>100</v>
      </c>
      <c r="C28" s="10" t="s">
        <v>101</v>
      </c>
      <c r="D28" s="8" t="s">
        <v>38</v>
      </c>
      <c r="E28" s="8" t="s">
        <v>39</v>
      </c>
      <c r="F28" s="15" t="s">
        <v>37</v>
      </c>
      <c r="G28" s="12" t="s">
        <v>33</v>
      </c>
      <c r="H28" s="16" t="s">
        <v>28</v>
      </c>
      <c r="I28" s="14" t="s">
        <v>92</v>
      </c>
      <c r="J28" s="14" t="s">
        <v>92</v>
      </c>
      <c r="K28" s="8" t="s">
        <v>102</v>
      </c>
      <c r="L28" s="8" t="s">
        <v>103</v>
      </c>
      <c r="M28" s="8" t="s">
        <v>104</v>
      </c>
    </row>
    <row r="29" spans="1:13" ht="26.4" x14ac:dyDescent="0.3">
      <c r="A29" s="8" t="s">
        <v>677</v>
      </c>
      <c r="B29" s="8" t="s">
        <v>266</v>
      </c>
      <c r="C29" s="10" t="s">
        <v>678</v>
      </c>
      <c r="D29" s="8" t="s">
        <v>17</v>
      </c>
      <c r="E29" s="8" t="s">
        <v>68</v>
      </c>
      <c r="F29" s="11" t="s">
        <v>83</v>
      </c>
      <c r="G29" s="15" t="s">
        <v>35</v>
      </c>
      <c r="H29" s="13" t="s">
        <v>27</v>
      </c>
      <c r="I29" s="14" t="s">
        <v>85</v>
      </c>
      <c r="J29" s="14" t="s">
        <v>115</v>
      </c>
      <c r="K29" s="8" t="s">
        <v>679</v>
      </c>
      <c r="L29" s="8" t="s">
        <v>180</v>
      </c>
      <c r="M29" s="8" t="s">
        <v>176</v>
      </c>
    </row>
    <row r="30" spans="1:13" ht="26.4" x14ac:dyDescent="0.3">
      <c r="A30" s="8" t="s">
        <v>265</v>
      </c>
      <c r="B30" s="8" t="s">
        <v>266</v>
      </c>
      <c r="C30" s="10" t="s">
        <v>267</v>
      </c>
      <c r="D30" s="8" t="s">
        <v>44</v>
      </c>
      <c r="E30" s="8" t="s">
        <v>50</v>
      </c>
      <c r="F30" s="11" t="s">
        <v>83</v>
      </c>
      <c r="G30" s="18" t="s">
        <v>32</v>
      </c>
      <c r="H30" s="13" t="s">
        <v>27</v>
      </c>
      <c r="I30" s="14" t="s">
        <v>115</v>
      </c>
      <c r="J30" s="14" t="s">
        <v>92</v>
      </c>
      <c r="K30" s="8" t="s">
        <v>268</v>
      </c>
      <c r="L30" s="8" t="s">
        <v>268</v>
      </c>
      <c r="M30" s="8" t="s">
        <v>176</v>
      </c>
    </row>
    <row r="31" spans="1:13" x14ac:dyDescent="0.3">
      <c r="A31" s="8" t="s">
        <v>680</v>
      </c>
      <c r="B31" s="8" t="s">
        <v>588</v>
      </c>
      <c r="C31" s="10" t="s">
        <v>681</v>
      </c>
      <c r="D31" s="8" t="s">
        <v>17</v>
      </c>
      <c r="E31" s="8" t="s">
        <v>68</v>
      </c>
      <c r="F31" s="17" t="s">
        <v>634</v>
      </c>
      <c r="G31" s="15" t="s">
        <v>35</v>
      </c>
      <c r="H31" s="13" t="s">
        <v>27</v>
      </c>
      <c r="I31" s="14"/>
      <c r="J31" s="14" t="s">
        <v>188</v>
      </c>
      <c r="K31" s="8" t="s">
        <v>682</v>
      </c>
      <c r="L31" s="8" t="s">
        <v>180</v>
      </c>
      <c r="M31" s="8" t="s">
        <v>176</v>
      </c>
    </row>
    <row r="32" spans="1:13" ht="26.4" x14ac:dyDescent="0.3">
      <c r="A32" s="8" t="s">
        <v>652</v>
      </c>
      <c r="B32" s="8" t="s">
        <v>588</v>
      </c>
      <c r="C32" s="10" t="s">
        <v>653</v>
      </c>
      <c r="D32" s="8" t="s">
        <v>17</v>
      </c>
      <c r="E32" s="8" t="s">
        <v>68</v>
      </c>
      <c r="F32" s="11" t="s">
        <v>83</v>
      </c>
      <c r="G32" s="12" t="s">
        <v>33</v>
      </c>
      <c r="H32" s="13" t="s">
        <v>27</v>
      </c>
      <c r="I32" s="14" t="s">
        <v>654</v>
      </c>
      <c r="J32" s="14" t="s">
        <v>115</v>
      </c>
      <c r="K32" s="8" t="s">
        <v>655</v>
      </c>
      <c r="L32" s="8" t="s">
        <v>180</v>
      </c>
      <c r="M32" s="8" t="s">
        <v>176</v>
      </c>
    </row>
    <row r="33" spans="1:13" x14ac:dyDescent="0.3">
      <c r="A33" s="8" t="s">
        <v>683</v>
      </c>
      <c r="B33" s="8" t="s">
        <v>266</v>
      </c>
      <c r="C33" s="10" t="s">
        <v>684</v>
      </c>
      <c r="D33" s="8" t="s">
        <v>17</v>
      </c>
      <c r="E33" s="8" t="s">
        <v>68</v>
      </c>
      <c r="F33" s="17" t="s">
        <v>634</v>
      </c>
      <c r="G33" s="15" t="s">
        <v>35</v>
      </c>
      <c r="H33" s="13" t="s">
        <v>27</v>
      </c>
      <c r="I33" s="14"/>
      <c r="J33" s="14" t="s">
        <v>188</v>
      </c>
      <c r="K33" s="8" t="s">
        <v>685</v>
      </c>
      <c r="L33" s="8" t="s">
        <v>686</v>
      </c>
      <c r="M33" s="8" t="s">
        <v>176</v>
      </c>
    </row>
    <row r="34" spans="1:13" x14ac:dyDescent="0.3">
      <c r="A34" s="8" t="s">
        <v>232</v>
      </c>
      <c r="B34" s="8" t="s">
        <v>205</v>
      </c>
      <c r="C34" s="10" t="s">
        <v>233</v>
      </c>
      <c r="D34" s="8" t="s">
        <v>44</v>
      </c>
      <c r="E34" s="8" t="s">
        <v>47</v>
      </c>
      <c r="F34" s="15" t="s">
        <v>37</v>
      </c>
      <c r="G34" s="15" t="s">
        <v>35</v>
      </c>
      <c r="H34" s="16" t="s">
        <v>28</v>
      </c>
      <c r="I34" s="14" t="s">
        <v>92</v>
      </c>
      <c r="J34" s="14" t="s">
        <v>188</v>
      </c>
      <c r="K34" s="8" t="s">
        <v>234</v>
      </c>
      <c r="L34" s="8" t="s">
        <v>103</v>
      </c>
      <c r="M34" s="8" t="s">
        <v>104</v>
      </c>
    </row>
    <row r="35" spans="1:13" ht="26.4" x14ac:dyDescent="0.3">
      <c r="A35" s="8" t="s">
        <v>269</v>
      </c>
      <c r="B35" s="8" t="s">
        <v>163</v>
      </c>
      <c r="C35" s="10" t="s">
        <v>270</v>
      </c>
      <c r="D35" s="8" t="s">
        <v>44</v>
      </c>
      <c r="E35" s="8" t="s">
        <v>50</v>
      </c>
      <c r="F35" s="11" t="s">
        <v>83</v>
      </c>
      <c r="G35" s="12" t="s">
        <v>33</v>
      </c>
      <c r="H35" s="12" t="s">
        <v>31</v>
      </c>
      <c r="I35" s="14" t="s">
        <v>115</v>
      </c>
      <c r="J35" s="14" t="s">
        <v>85</v>
      </c>
      <c r="K35" s="8" t="s">
        <v>271</v>
      </c>
      <c r="L35" s="8" t="s">
        <v>166</v>
      </c>
      <c r="M35" s="8"/>
    </row>
    <row r="36" spans="1:13" x14ac:dyDescent="0.3">
      <c r="A36" s="8" t="s">
        <v>457</v>
      </c>
      <c r="B36" s="8" t="s">
        <v>100</v>
      </c>
      <c r="C36" s="10" t="s">
        <v>458</v>
      </c>
      <c r="D36" s="8" t="s">
        <v>52</v>
      </c>
      <c r="E36" s="8" t="s">
        <v>62</v>
      </c>
      <c r="F36" s="15" t="s">
        <v>37</v>
      </c>
      <c r="G36" s="12" t="s">
        <v>33</v>
      </c>
      <c r="H36" s="16" t="s">
        <v>28</v>
      </c>
      <c r="I36" s="14" t="s">
        <v>92</v>
      </c>
      <c r="J36" s="14" t="s">
        <v>85</v>
      </c>
      <c r="K36" s="8" t="s">
        <v>459</v>
      </c>
      <c r="L36" s="8" t="s">
        <v>103</v>
      </c>
      <c r="M36" s="8" t="s">
        <v>171</v>
      </c>
    </row>
    <row r="37" spans="1:13" x14ac:dyDescent="0.3">
      <c r="A37" s="8" t="s">
        <v>478</v>
      </c>
      <c r="B37" s="8" t="s">
        <v>163</v>
      </c>
      <c r="C37" s="10" t="s">
        <v>479</v>
      </c>
      <c r="D37" s="8" t="s">
        <v>63</v>
      </c>
      <c r="E37" s="8" t="s">
        <v>64</v>
      </c>
      <c r="F37" s="15" t="s">
        <v>37</v>
      </c>
      <c r="G37" s="15" t="s">
        <v>35</v>
      </c>
      <c r="H37" s="13" t="s">
        <v>27</v>
      </c>
      <c r="I37" s="14" t="s">
        <v>92</v>
      </c>
      <c r="J37" s="14" t="s">
        <v>188</v>
      </c>
      <c r="K37" s="8" t="s">
        <v>459</v>
      </c>
      <c r="L37" s="8" t="s">
        <v>166</v>
      </c>
      <c r="M37" s="8" t="s">
        <v>171</v>
      </c>
    </row>
    <row r="38" spans="1:13" ht="26.4" x14ac:dyDescent="0.3">
      <c r="A38" s="8" t="s">
        <v>480</v>
      </c>
      <c r="B38" s="8" t="s">
        <v>163</v>
      </c>
      <c r="C38" s="10" t="s">
        <v>481</v>
      </c>
      <c r="D38" s="8" t="s">
        <v>63</v>
      </c>
      <c r="E38" s="8" t="s">
        <v>64</v>
      </c>
      <c r="F38" s="11" t="s">
        <v>83</v>
      </c>
      <c r="G38" s="15" t="s">
        <v>35</v>
      </c>
      <c r="H38" s="12" t="s">
        <v>31</v>
      </c>
      <c r="I38" s="14" t="s">
        <v>115</v>
      </c>
      <c r="J38" s="14" t="s">
        <v>188</v>
      </c>
      <c r="K38" s="8" t="s">
        <v>459</v>
      </c>
      <c r="L38" s="8" t="s">
        <v>300</v>
      </c>
      <c r="M38" s="8"/>
    </row>
    <row r="39" spans="1:13" x14ac:dyDescent="0.3">
      <c r="A39" s="8" t="s">
        <v>570</v>
      </c>
      <c r="B39" s="8" t="s">
        <v>163</v>
      </c>
      <c r="C39" s="10" t="s">
        <v>571</v>
      </c>
      <c r="D39" s="8" t="s">
        <v>63</v>
      </c>
      <c r="E39" s="8" t="s">
        <v>67</v>
      </c>
      <c r="F39" s="15" t="s">
        <v>37</v>
      </c>
      <c r="G39" s="12" t="s">
        <v>33</v>
      </c>
      <c r="H39" s="13" t="s">
        <v>27</v>
      </c>
      <c r="I39" s="14" t="s">
        <v>92</v>
      </c>
      <c r="J39" s="14" t="s">
        <v>188</v>
      </c>
      <c r="K39" s="8" t="s">
        <v>459</v>
      </c>
      <c r="L39" s="8" t="s">
        <v>166</v>
      </c>
      <c r="M39" s="8" t="s">
        <v>171</v>
      </c>
    </row>
    <row r="40" spans="1:13" x14ac:dyDescent="0.3">
      <c r="A40" s="8" t="s">
        <v>577</v>
      </c>
      <c r="B40" s="8" t="s">
        <v>163</v>
      </c>
      <c r="C40" s="10" t="s">
        <v>578</v>
      </c>
      <c r="D40" s="8" t="s">
        <v>63</v>
      </c>
      <c r="E40" s="8" t="s">
        <v>67</v>
      </c>
      <c r="F40" s="15" t="s">
        <v>37</v>
      </c>
      <c r="G40" s="17" t="s">
        <v>34</v>
      </c>
      <c r="H40" s="13" t="s">
        <v>27</v>
      </c>
      <c r="I40" s="14" t="s">
        <v>92</v>
      </c>
      <c r="J40" s="14" t="s">
        <v>188</v>
      </c>
      <c r="K40" s="8" t="s">
        <v>459</v>
      </c>
      <c r="L40" s="8" t="s">
        <v>166</v>
      </c>
      <c r="M40" s="8" t="s">
        <v>277</v>
      </c>
    </row>
    <row r="41" spans="1:13" x14ac:dyDescent="0.3">
      <c r="A41" s="8" t="s">
        <v>587</v>
      </c>
      <c r="B41" s="8" t="s">
        <v>588</v>
      </c>
      <c r="C41" s="10" t="s">
        <v>589</v>
      </c>
      <c r="D41" s="8" t="s">
        <v>63</v>
      </c>
      <c r="E41" s="8" t="s">
        <v>67</v>
      </c>
      <c r="F41" s="11" t="s">
        <v>83</v>
      </c>
      <c r="G41" s="15" t="s">
        <v>35</v>
      </c>
      <c r="H41" s="13" t="s">
        <v>27</v>
      </c>
      <c r="I41" s="14"/>
      <c r="J41" s="14" t="s">
        <v>188</v>
      </c>
      <c r="K41" s="8" t="s">
        <v>459</v>
      </c>
      <c r="L41" s="8" t="s">
        <v>590</v>
      </c>
      <c r="M41" s="8"/>
    </row>
    <row r="42" spans="1:13" ht="26.4" x14ac:dyDescent="0.3">
      <c r="A42" s="8" t="s">
        <v>671</v>
      </c>
      <c r="B42" s="8" t="s">
        <v>163</v>
      </c>
      <c r="C42" s="10" t="s">
        <v>672</v>
      </c>
      <c r="D42" s="8" t="s">
        <v>17</v>
      </c>
      <c r="E42" s="8" t="s">
        <v>68</v>
      </c>
      <c r="F42" s="11" t="s">
        <v>83</v>
      </c>
      <c r="G42" s="15" t="s">
        <v>35</v>
      </c>
      <c r="H42" s="19" t="s">
        <v>257</v>
      </c>
      <c r="I42" s="14" t="s">
        <v>115</v>
      </c>
      <c r="J42" s="14" t="s">
        <v>188</v>
      </c>
      <c r="K42" s="8" t="s">
        <v>459</v>
      </c>
      <c r="L42" s="8" t="s">
        <v>288</v>
      </c>
      <c r="M42" s="8" t="s">
        <v>104</v>
      </c>
    </row>
    <row r="43" spans="1:13" ht="26.4" x14ac:dyDescent="0.3">
      <c r="A43" s="8" t="s">
        <v>673</v>
      </c>
      <c r="B43" s="8" t="s">
        <v>163</v>
      </c>
      <c r="C43" s="10" t="s">
        <v>674</v>
      </c>
      <c r="D43" s="8" t="s">
        <v>17</v>
      </c>
      <c r="E43" s="8" t="s">
        <v>68</v>
      </c>
      <c r="F43" s="11" t="s">
        <v>83</v>
      </c>
      <c r="G43" s="15" t="s">
        <v>35</v>
      </c>
      <c r="H43" s="13" t="s">
        <v>27</v>
      </c>
      <c r="I43" s="14" t="s">
        <v>115</v>
      </c>
      <c r="J43" s="14" t="s">
        <v>188</v>
      </c>
      <c r="K43" s="8" t="s">
        <v>459</v>
      </c>
      <c r="L43" s="8" t="s">
        <v>166</v>
      </c>
      <c r="M43" s="8" t="s">
        <v>277</v>
      </c>
    </row>
    <row r="44" spans="1:13" x14ac:dyDescent="0.3">
      <c r="A44" s="8" t="s">
        <v>591</v>
      </c>
      <c r="B44" s="8" t="s">
        <v>163</v>
      </c>
      <c r="C44" s="10" t="s">
        <v>592</v>
      </c>
      <c r="D44" s="8" t="s">
        <v>63</v>
      </c>
      <c r="E44" s="8" t="s">
        <v>67</v>
      </c>
      <c r="F44" s="11" t="s">
        <v>83</v>
      </c>
      <c r="G44" s="15" t="s">
        <v>35</v>
      </c>
      <c r="H44" s="13" t="s">
        <v>27</v>
      </c>
      <c r="I44" s="14"/>
      <c r="J44" s="14" t="s">
        <v>188</v>
      </c>
      <c r="K44" s="8" t="s">
        <v>593</v>
      </c>
      <c r="L44" s="8" t="s">
        <v>166</v>
      </c>
      <c r="M44" s="8" t="s">
        <v>277</v>
      </c>
    </row>
    <row r="45" spans="1:13" x14ac:dyDescent="0.3">
      <c r="A45" s="8" t="s">
        <v>594</v>
      </c>
      <c r="B45" s="8" t="s">
        <v>163</v>
      </c>
      <c r="C45" s="10" t="s">
        <v>595</v>
      </c>
      <c r="D45" s="8" t="s">
        <v>63</v>
      </c>
      <c r="E45" s="8" t="s">
        <v>67</v>
      </c>
      <c r="F45" s="11" t="s">
        <v>83</v>
      </c>
      <c r="G45" s="15" t="s">
        <v>35</v>
      </c>
      <c r="H45" s="13" t="s">
        <v>27</v>
      </c>
      <c r="I45" s="14"/>
      <c r="J45" s="14" t="s">
        <v>188</v>
      </c>
      <c r="K45" s="8" t="s">
        <v>593</v>
      </c>
      <c r="L45" s="8" t="s">
        <v>166</v>
      </c>
      <c r="M45" s="8" t="s">
        <v>277</v>
      </c>
    </row>
    <row r="46" spans="1:13" x14ac:dyDescent="0.3">
      <c r="A46" s="8" t="s">
        <v>596</v>
      </c>
      <c r="B46" s="8" t="s">
        <v>163</v>
      </c>
      <c r="C46" s="10" t="s">
        <v>597</v>
      </c>
      <c r="D46" s="8" t="s">
        <v>63</v>
      </c>
      <c r="E46" s="8" t="s">
        <v>67</v>
      </c>
      <c r="F46" s="11" t="s">
        <v>83</v>
      </c>
      <c r="G46" s="15" t="s">
        <v>35</v>
      </c>
      <c r="H46" s="13" t="s">
        <v>27</v>
      </c>
      <c r="I46" s="14"/>
      <c r="J46" s="14" t="s">
        <v>188</v>
      </c>
      <c r="K46" s="8" t="s">
        <v>593</v>
      </c>
      <c r="L46" s="8" t="s">
        <v>166</v>
      </c>
      <c r="M46" s="8" t="s">
        <v>277</v>
      </c>
    </row>
    <row r="47" spans="1:13" x14ac:dyDescent="0.3">
      <c r="A47" s="8" t="s">
        <v>598</v>
      </c>
      <c r="B47" s="8" t="s">
        <v>163</v>
      </c>
      <c r="C47" s="10" t="s">
        <v>599</v>
      </c>
      <c r="D47" s="8" t="s">
        <v>63</v>
      </c>
      <c r="E47" s="8" t="s">
        <v>67</v>
      </c>
      <c r="F47" s="11" t="s">
        <v>83</v>
      </c>
      <c r="G47" s="15" t="s">
        <v>35</v>
      </c>
      <c r="H47" s="13" t="s">
        <v>27</v>
      </c>
      <c r="I47" s="14"/>
      <c r="J47" s="14" t="s">
        <v>188</v>
      </c>
      <c r="K47" s="8" t="s">
        <v>593</v>
      </c>
      <c r="L47" s="8" t="s">
        <v>166</v>
      </c>
      <c r="M47" s="8" t="s">
        <v>171</v>
      </c>
    </row>
    <row r="48" spans="1:13" x14ac:dyDescent="0.3">
      <c r="A48" s="8" t="s">
        <v>600</v>
      </c>
      <c r="B48" s="8" t="s">
        <v>163</v>
      </c>
      <c r="C48" s="10" t="s">
        <v>601</v>
      </c>
      <c r="D48" s="8" t="s">
        <v>63</v>
      </c>
      <c r="E48" s="8" t="s">
        <v>67</v>
      </c>
      <c r="F48" s="11" t="s">
        <v>83</v>
      </c>
      <c r="G48" s="15" t="s">
        <v>35</v>
      </c>
      <c r="H48" s="13" t="s">
        <v>27</v>
      </c>
      <c r="I48" s="14"/>
      <c r="J48" s="14" t="s">
        <v>188</v>
      </c>
      <c r="K48" s="8" t="s">
        <v>593</v>
      </c>
      <c r="L48" s="8" t="s">
        <v>166</v>
      </c>
      <c r="M48" s="8" t="s">
        <v>198</v>
      </c>
    </row>
    <row r="49" spans="1:13" x14ac:dyDescent="0.3">
      <c r="A49" s="8" t="s">
        <v>602</v>
      </c>
      <c r="B49" s="8" t="s">
        <v>163</v>
      </c>
      <c r="C49" s="10" t="s">
        <v>603</v>
      </c>
      <c r="D49" s="8" t="s">
        <v>63</v>
      </c>
      <c r="E49" s="8" t="s">
        <v>67</v>
      </c>
      <c r="F49" s="11" t="s">
        <v>83</v>
      </c>
      <c r="G49" s="15" t="s">
        <v>35</v>
      </c>
      <c r="H49" s="13" t="s">
        <v>27</v>
      </c>
      <c r="I49" s="14"/>
      <c r="J49" s="14" t="s">
        <v>188</v>
      </c>
      <c r="K49" s="8" t="s">
        <v>593</v>
      </c>
      <c r="L49" s="8" t="s">
        <v>166</v>
      </c>
      <c r="M49" s="8" t="s">
        <v>198</v>
      </c>
    </row>
    <row r="50" spans="1:13" ht="26.4" x14ac:dyDescent="0.3">
      <c r="A50" s="8" t="s">
        <v>248</v>
      </c>
      <c r="B50" s="8" t="s">
        <v>100</v>
      </c>
      <c r="C50" s="10" t="s">
        <v>249</v>
      </c>
      <c r="D50" s="8" t="s">
        <v>44</v>
      </c>
      <c r="E50" s="8" t="s">
        <v>49</v>
      </c>
      <c r="F50" s="11" t="s">
        <v>83</v>
      </c>
      <c r="G50" s="15" t="s">
        <v>35</v>
      </c>
      <c r="H50" s="13" t="s">
        <v>27</v>
      </c>
      <c r="I50" s="14" t="s">
        <v>115</v>
      </c>
      <c r="J50" s="14" t="s">
        <v>188</v>
      </c>
      <c r="K50" s="8" t="s">
        <v>250</v>
      </c>
      <c r="L50" s="8" t="s">
        <v>250</v>
      </c>
      <c r="M50" s="8" t="s">
        <v>176</v>
      </c>
    </row>
    <row r="51" spans="1:13" ht="26.4" x14ac:dyDescent="0.3">
      <c r="A51" s="8" t="s">
        <v>186</v>
      </c>
      <c r="B51" s="8" t="s">
        <v>163</v>
      </c>
      <c r="C51" s="10" t="s">
        <v>187</v>
      </c>
      <c r="D51" s="8" t="s">
        <v>38</v>
      </c>
      <c r="E51" s="8" t="s">
        <v>43</v>
      </c>
      <c r="F51" s="11" t="s">
        <v>83</v>
      </c>
      <c r="G51" s="15" t="s">
        <v>35</v>
      </c>
      <c r="H51" s="13" t="s">
        <v>27</v>
      </c>
      <c r="I51" s="14"/>
      <c r="J51" s="14" t="s">
        <v>188</v>
      </c>
      <c r="K51" s="8" t="s">
        <v>189</v>
      </c>
      <c r="L51" s="8" t="s">
        <v>166</v>
      </c>
      <c r="M51" s="8" t="s">
        <v>190</v>
      </c>
    </row>
    <row r="52" spans="1:13" ht="26.4" x14ac:dyDescent="0.3">
      <c r="A52" s="8" t="s">
        <v>604</v>
      </c>
      <c r="B52" s="8" t="s">
        <v>163</v>
      </c>
      <c r="C52" s="10" t="s">
        <v>605</v>
      </c>
      <c r="D52" s="8" t="s">
        <v>63</v>
      </c>
      <c r="E52" s="8" t="s">
        <v>67</v>
      </c>
      <c r="F52" s="11" t="s">
        <v>83</v>
      </c>
      <c r="G52" s="15" t="s">
        <v>35</v>
      </c>
      <c r="H52" s="13" t="s">
        <v>27</v>
      </c>
      <c r="I52" s="14"/>
      <c r="J52" s="14" t="s">
        <v>188</v>
      </c>
      <c r="K52" s="8" t="s">
        <v>189</v>
      </c>
      <c r="L52" s="8" t="s">
        <v>166</v>
      </c>
      <c r="M52" s="8" t="s">
        <v>277</v>
      </c>
    </row>
    <row r="53" spans="1:13" x14ac:dyDescent="0.3">
      <c r="A53" s="8" t="s">
        <v>606</v>
      </c>
      <c r="B53" s="8" t="s">
        <v>163</v>
      </c>
      <c r="C53" s="10" t="s">
        <v>607</v>
      </c>
      <c r="D53" s="8" t="s">
        <v>63</v>
      </c>
      <c r="E53" s="8" t="s">
        <v>67</v>
      </c>
      <c r="F53" s="11" t="s">
        <v>83</v>
      </c>
      <c r="G53" s="15" t="s">
        <v>35</v>
      </c>
      <c r="H53" s="13" t="s">
        <v>27</v>
      </c>
      <c r="I53" s="14"/>
      <c r="J53" s="14" t="s">
        <v>188</v>
      </c>
      <c r="K53" s="8" t="s">
        <v>189</v>
      </c>
      <c r="L53" s="8" t="s">
        <v>166</v>
      </c>
      <c r="M53" s="8" t="s">
        <v>277</v>
      </c>
    </row>
    <row r="54" spans="1:13" ht="26.4" x14ac:dyDescent="0.3">
      <c r="A54" s="8" t="s">
        <v>608</v>
      </c>
      <c r="B54" s="8" t="s">
        <v>163</v>
      </c>
      <c r="C54" s="10" t="s">
        <v>609</v>
      </c>
      <c r="D54" s="8" t="s">
        <v>63</v>
      </c>
      <c r="E54" s="8" t="s">
        <v>67</v>
      </c>
      <c r="F54" s="11" t="s">
        <v>83</v>
      </c>
      <c r="G54" s="15" t="s">
        <v>35</v>
      </c>
      <c r="H54" s="13" t="s">
        <v>27</v>
      </c>
      <c r="I54" s="14"/>
      <c r="J54" s="14" t="s">
        <v>188</v>
      </c>
      <c r="K54" s="8" t="s">
        <v>189</v>
      </c>
      <c r="L54" s="8" t="s">
        <v>166</v>
      </c>
      <c r="M54" s="8" t="s">
        <v>171</v>
      </c>
    </row>
    <row r="55" spans="1:13" ht="26.4" x14ac:dyDescent="0.3">
      <c r="A55" s="8" t="s">
        <v>177</v>
      </c>
      <c r="B55" s="8" t="s">
        <v>100</v>
      </c>
      <c r="C55" s="10" t="s">
        <v>178</v>
      </c>
      <c r="D55" s="8" t="s">
        <v>38</v>
      </c>
      <c r="E55" s="8" t="s">
        <v>43</v>
      </c>
      <c r="F55" s="15" t="s">
        <v>37</v>
      </c>
      <c r="G55" s="12" t="s">
        <v>33</v>
      </c>
      <c r="H55" s="13" t="s">
        <v>27</v>
      </c>
      <c r="I55" s="14" t="s">
        <v>92</v>
      </c>
      <c r="J55" s="14" t="s">
        <v>85</v>
      </c>
      <c r="K55" s="8" t="s">
        <v>179</v>
      </c>
      <c r="L55" s="8" t="s">
        <v>180</v>
      </c>
      <c r="M55" s="8" t="s">
        <v>181</v>
      </c>
    </row>
    <row r="56" spans="1:13" ht="26.4" x14ac:dyDescent="0.3">
      <c r="A56" s="8" t="s">
        <v>195</v>
      </c>
      <c r="B56" s="8" t="s">
        <v>100</v>
      </c>
      <c r="C56" s="10" t="s">
        <v>196</v>
      </c>
      <c r="D56" s="8" t="s">
        <v>44</v>
      </c>
      <c r="E56" s="8" t="s">
        <v>45</v>
      </c>
      <c r="F56" s="11" t="s">
        <v>83</v>
      </c>
      <c r="G56" s="12" t="s">
        <v>33</v>
      </c>
      <c r="H56" s="13" t="s">
        <v>27</v>
      </c>
      <c r="I56" s="14" t="s">
        <v>115</v>
      </c>
      <c r="J56" s="14" t="s">
        <v>85</v>
      </c>
      <c r="K56" s="8" t="s">
        <v>197</v>
      </c>
      <c r="L56" s="8" t="s">
        <v>197</v>
      </c>
      <c r="M56" s="8" t="s">
        <v>198</v>
      </c>
    </row>
    <row r="57" spans="1:13" x14ac:dyDescent="0.3">
      <c r="A57" s="8" t="s">
        <v>552</v>
      </c>
      <c r="B57" s="8" t="s">
        <v>163</v>
      </c>
      <c r="C57" s="10" t="s">
        <v>553</v>
      </c>
      <c r="D57" s="8" t="s">
        <v>63</v>
      </c>
      <c r="E57" s="8" t="s">
        <v>66</v>
      </c>
      <c r="F57" s="11" t="s">
        <v>83</v>
      </c>
      <c r="G57" s="15" t="s">
        <v>35</v>
      </c>
      <c r="H57" s="13" t="s">
        <v>27</v>
      </c>
      <c r="I57" s="14"/>
      <c r="J57" s="14" t="s">
        <v>188</v>
      </c>
      <c r="K57" s="8" t="s">
        <v>197</v>
      </c>
      <c r="L57" s="8" t="s">
        <v>166</v>
      </c>
      <c r="M57" s="8" t="s">
        <v>176</v>
      </c>
    </row>
    <row r="58" spans="1:13" ht="26.4" x14ac:dyDescent="0.3">
      <c r="A58" s="8" t="s">
        <v>272</v>
      </c>
      <c r="B58" s="8" t="s">
        <v>100</v>
      </c>
      <c r="C58" s="10" t="s">
        <v>273</v>
      </c>
      <c r="D58" s="8" t="s">
        <v>44</v>
      </c>
      <c r="E58" s="8" t="s">
        <v>50</v>
      </c>
      <c r="F58" s="11" t="s">
        <v>83</v>
      </c>
      <c r="G58" s="12" t="s">
        <v>33</v>
      </c>
      <c r="H58" s="13" t="s">
        <v>27</v>
      </c>
      <c r="I58" s="14" t="s">
        <v>115</v>
      </c>
      <c r="J58" s="14" t="s">
        <v>115</v>
      </c>
      <c r="K58" s="8" t="s">
        <v>274</v>
      </c>
      <c r="L58" s="8" t="s">
        <v>274</v>
      </c>
      <c r="M58" s="8" t="s">
        <v>216</v>
      </c>
    </row>
    <row r="59" spans="1:13" ht="26.4" x14ac:dyDescent="0.3">
      <c r="A59" s="8" t="s">
        <v>275</v>
      </c>
      <c r="B59" s="8" t="s">
        <v>205</v>
      </c>
      <c r="C59" s="10" t="s">
        <v>276</v>
      </c>
      <c r="D59" s="8" t="s">
        <v>44</v>
      </c>
      <c r="E59" s="8" t="s">
        <v>50</v>
      </c>
      <c r="F59" s="16" t="s">
        <v>36</v>
      </c>
      <c r="G59" s="12" t="s">
        <v>33</v>
      </c>
      <c r="H59" s="13" t="s">
        <v>27</v>
      </c>
      <c r="I59" s="14" t="s">
        <v>115</v>
      </c>
      <c r="J59" s="14" t="s">
        <v>115</v>
      </c>
      <c r="K59" s="8" t="s">
        <v>274</v>
      </c>
      <c r="L59" s="8" t="s">
        <v>274</v>
      </c>
      <c r="M59" s="8" t="s">
        <v>277</v>
      </c>
    </row>
    <row r="60" spans="1:13" ht="26.4" x14ac:dyDescent="0.3">
      <c r="A60" s="8" t="s">
        <v>278</v>
      </c>
      <c r="B60" s="8" t="s">
        <v>163</v>
      </c>
      <c r="C60" s="10" t="s">
        <v>279</v>
      </c>
      <c r="D60" s="8" t="s">
        <v>44</v>
      </c>
      <c r="E60" s="8" t="s">
        <v>50</v>
      </c>
      <c r="F60" s="16" t="s">
        <v>36</v>
      </c>
      <c r="G60" s="12" t="s">
        <v>33</v>
      </c>
      <c r="H60" s="13" t="s">
        <v>27</v>
      </c>
      <c r="I60" s="14" t="s">
        <v>115</v>
      </c>
      <c r="J60" s="14" t="s">
        <v>115</v>
      </c>
      <c r="K60" s="8" t="s">
        <v>280</v>
      </c>
      <c r="L60" s="8" t="s">
        <v>281</v>
      </c>
      <c r="M60" s="8" t="s">
        <v>216</v>
      </c>
    </row>
    <row r="61" spans="1:13" x14ac:dyDescent="0.3">
      <c r="A61" s="8" t="s">
        <v>217</v>
      </c>
      <c r="B61" s="8" t="s">
        <v>100</v>
      </c>
      <c r="C61" s="10" t="s">
        <v>218</v>
      </c>
      <c r="D61" s="8" t="s">
        <v>44</v>
      </c>
      <c r="E61" s="8" t="s">
        <v>45</v>
      </c>
      <c r="F61" s="11" t="s">
        <v>83</v>
      </c>
      <c r="G61" s="15" t="s">
        <v>35</v>
      </c>
      <c r="H61" s="12" t="s">
        <v>31</v>
      </c>
      <c r="I61" s="14" t="s">
        <v>92</v>
      </c>
      <c r="J61" s="14" t="s">
        <v>188</v>
      </c>
      <c r="K61" s="8" t="s">
        <v>219</v>
      </c>
      <c r="L61" s="8" t="s">
        <v>180</v>
      </c>
      <c r="M61" s="8"/>
    </row>
    <row r="62" spans="1:13" ht="26.4" x14ac:dyDescent="0.3">
      <c r="A62" s="8" t="s">
        <v>237</v>
      </c>
      <c r="B62" s="8" t="s">
        <v>163</v>
      </c>
      <c r="C62" s="10" t="s">
        <v>238</v>
      </c>
      <c r="D62" s="8" t="s">
        <v>44</v>
      </c>
      <c r="E62" s="8" t="s">
        <v>49</v>
      </c>
      <c r="F62" s="11" t="s">
        <v>83</v>
      </c>
      <c r="G62" s="12" t="s">
        <v>33</v>
      </c>
      <c r="H62" s="13" t="s">
        <v>27</v>
      </c>
      <c r="I62" s="14" t="s">
        <v>115</v>
      </c>
      <c r="J62" s="14" t="s">
        <v>85</v>
      </c>
      <c r="K62" s="8" t="s">
        <v>239</v>
      </c>
      <c r="L62" s="8" t="s">
        <v>166</v>
      </c>
      <c r="M62" s="8" t="s">
        <v>198</v>
      </c>
    </row>
    <row r="63" spans="1:13" ht="26.4" x14ac:dyDescent="0.3">
      <c r="A63" s="8" t="s">
        <v>348</v>
      </c>
      <c r="B63" s="8" t="s">
        <v>163</v>
      </c>
      <c r="C63" s="10" t="s">
        <v>349</v>
      </c>
      <c r="D63" s="8" t="s">
        <v>44</v>
      </c>
      <c r="E63" s="8" t="s">
        <v>50</v>
      </c>
      <c r="F63" s="11" t="s">
        <v>83</v>
      </c>
      <c r="G63" s="15" t="s">
        <v>35</v>
      </c>
      <c r="H63" s="13" t="s">
        <v>27</v>
      </c>
      <c r="I63" s="14" t="s">
        <v>115</v>
      </c>
      <c r="J63" s="14" t="s">
        <v>188</v>
      </c>
      <c r="K63" s="8" t="s">
        <v>350</v>
      </c>
      <c r="L63" s="8" t="s">
        <v>281</v>
      </c>
      <c r="M63" s="8" t="s">
        <v>216</v>
      </c>
    </row>
    <row r="64" spans="1:13" ht="26.4" x14ac:dyDescent="0.3">
      <c r="A64" s="8" t="s">
        <v>245</v>
      </c>
      <c r="B64" s="8" t="s">
        <v>100</v>
      </c>
      <c r="C64" s="10" t="s">
        <v>246</v>
      </c>
      <c r="D64" s="8" t="s">
        <v>44</v>
      </c>
      <c r="E64" s="8" t="s">
        <v>49</v>
      </c>
      <c r="F64" s="11" t="s">
        <v>83</v>
      </c>
      <c r="G64" s="17" t="s">
        <v>34</v>
      </c>
      <c r="H64" s="13" t="s">
        <v>27</v>
      </c>
      <c r="I64" s="14" t="s">
        <v>115</v>
      </c>
      <c r="J64" s="14" t="s">
        <v>85</v>
      </c>
      <c r="K64" s="8" t="s">
        <v>247</v>
      </c>
      <c r="L64" s="8" t="s">
        <v>103</v>
      </c>
      <c r="M64" s="8" t="s">
        <v>198</v>
      </c>
    </row>
    <row r="65" spans="1:13" x14ac:dyDescent="0.3">
      <c r="A65" s="8" t="s">
        <v>368</v>
      </c>
      <c r="B65" s="8" t="s">
        <v>163</v>
      </c>
      <c r="C65" s="10" t="s">
        <v>369</v>
      </c>
      <c r="D65" s="8" t="s">
        <v>52</v>
      </c>
      <c r="E65" s="8" t="s">
        <v>54</v>
      </c>
      <c r="F65" s="11" t="s">
        <v>83</v>
      </c>
      <c r="G65" s="12" t="s">
        <v>33</v>
      </c>
      <c r="H65" s="13" t="s">
        <v>27</v>
      </c>
      <c r="I65" s="14" t="s">
        <v>92</v>
      </c>
      <c r="J65" s="14" t="s">
        <v>85</v>
      </c>
      <c r="K65" s="8" t="s">
        <v>247</v>
      </c>
      <c r="L65" s="8" t="s">
        <v>166</v>
      </c>
      <c r="M65" s="8" t="s">
        <v>370</v>
      </c>
    </row>
    <row r="66" spans="1:13" x14ac:dyDescent="0.3">
      <c r="A66" s="8" t="s">
        <v>162</v>
      </c>
      <c r="B66" s="8" t="s">
        <v>163</v>
      </c>
      <c r="C66" s="10" t="s">
        <v>164</v>
      </c>
      <c r="D66" s="8" t="s">
        <v>38</v>
      </c>
      <c r="E66" s="8" t="s">
        <v>42</v>
      </c>
      <c r="F66" s="11" t="s">
        <v>83</v>
      </c>
      <c r="G66" s="18" t="s">
        <v>32</v>
      </c>
      <c r="H66" s="13" t="s">
        <v>27</v>
      </c>
      <c r="I66" s="14" t="s">
        <v>92</v>
      </c>
      <c r="J66" s="14" t="s">
        <v>85</v>
      </c>
      <c r="K66" s="8" t="s">
        <v>165</v>
      </c>
      <c r="L66" s="8" t="s">
        <v>166</v>
      </c>
      <c r="M66" s="8" t="s">
        <v>167</v>
      </c>
    </row>
    <row r="67" spans="1:13" ht="26.4" x14ac:dyDescent="0.3">
      <c r="A67" s="8" t="s">
        <v>375</v>
      </c>
      <c r="B67" s="8" t="s">
        <v>100</v>
      </c>
      <c r="C67" s="10" t="s">
        <v>376</v>
      </c>
      <c r="D67" s="8" t="s">
        <v>52</v>
      </c>
      <c r="E67" s="8" t="s">
        <v>55</v>
      </c>
      <c r="F67" s="16" t="s">
        <v>36</v>
      </c>
      <c r="G67" s="12" t="s">
        <v>33</v>
      </c>
      <c r="H67" s="12" t="s">
        <v>31</v>
      </c>
      <c r="I67" s="14" t="s">
        <v>115</v>
      </c>
      <c r="J67" s="14" t="s">
        <v>115</v>
      </c>
      <c r="K67" s="8" t="s">
        <v>377</v>
      </c>
      <c r="L67" s="8" t="s">
        <v>180</v>
      </c>
      <c r="M67" s="8"/>
    </row>
    <row r="68" spans="1:13" ht="26.4" x14ac:dyDescent="0.3">
      <c r="A68" s="8" t="s">
        <v>621</v>
      </c>
      <c r="B68" s="8" t="s">
        <v>100</v>
      </c>
      <c r="C68" s="10" t="s">
        <v>622</v>
      </c>
      <c r="D68" s="8" t="s">
        <v>17</v>
      </c>
      <c r="E68" s="8" t="s">
        <v>68</v>
      </c>
      <c r="F68" s="11" t="s">
        <v>83</v>
      </c>
      <c r="G68" s="12" t="s">
        <v>33</v>
      </c>
      <c r="H68" s="16" t="s">
        <v>28</v>
      </c>
      <c r="I68" s="14" t="s">
        <v>92</v>
      </c>
      <c r="J68" s="14" t="s">
        <v>115</v>
      </c>
      <c r="K68" s="8" t="s">
        <v>377</v>
      </c>
      <c r="L68" s="8" t="s">
        <v>180</v>
      </c>
      <c r="M68" s="8" t="s">
        <v>104</v>
      </c>
    </row>
    <row r="69" spans="1:13" ht="26.4" x14ac:dyDescent="0.3">
      <c r="A69" s="8" t="s">
        <v>623</v>
      </c>
      <c r="B69" s="8" t="s">
        <v>100</v>
      </c>
      <c r="C69" s="10" t="s">
        <v>624</v>
      </c>
      <c r="D69" s="8" t="s">
        <v>17</v>
      </c>
      <c r="E69" s="8" t="s">
        <v>68</v>
      </c>
      <c r="F69" s="16" t="s">
        <v>36</v>
      </c>
      <c r="G69" s="12" t="s">
        <v>33</v>
      </c>
      <c r="H69" s="13" t="s">
        <v>27</v>
      </c>
      <c r="I69" s="14" t="s">
        <v>115</v>
      </c>
      <c r="J69" s="14" t="s">
        <v>115</v>
      </c>
      <c r="K69" s="8" t="s">
        <v>377</v>
      </c>
      <c r="L69" s="8" t="s">
        <v>180</v>
      </c>
      <c r="M69" s="8" t="s">
        <v>171</v>
      </c>
    </row>
    <row r="70" spans="1:13" ht="26.4" x14ac:dyDescent="0.3">
      <c r="A70" s="8" t="s">
        <v>656</v>
      </c>
      <c r="B70" s="8" t="s">
        <v>100</v>
      </c>
      <c r="C70" s="10" t="s">
        <v>657</v>
      </c>
      <c r="D70" s="8" t="s">
        <v>17</v>
      </c>
      <c r="E70" s="8" t="s">
        <v>68</v>
      </c>
      <c r="F70" s="15" t="s">
        <v>37</v>
      </c>
      <c r="G70" s="17" t="s">
        <v>34</v>
      </c>
      <c r="H70" s="13" t="s">
        <v>27</v>
      </c>
      <c r="I70" s="14" t="s">
        <v>92</v>
      </c>
      <c r="J70" s="14" t="s">
        <v>115</v>
      </c>
      <c r="K70" s="8" t="s">
        <v>377</v>
      </c>
      <c r="L70" s="8" t="s">
        <v>180</v>
      </c>
      <c r="M70" s="8" t="s">
        <v>216</v>
      </c>
    </row>
    <row r="71" spans="1:13" ht="26.4" x14ac:dyDescent="0.3">
      <c r="A71" s="8" t="s">
        <v>282</v>
      </c>
      <c r="B71" s="8" t="s">
        <v>100</v>
      </c>
      <c r="C71" s="10" t="s">
        <v>283</v>
      </c>
      <c r="D71" s="8" t="s">
        <v>44</v>
      </c>
      <c r="E71" s="8" t="s">
        <v>50</v>
      </c>
      <c r="F71" s="11" t="s">
        <v>83</v>
      </c>
      <c r="G71" s="12" t="s">
        <v>33</v>
      </c>
      <c r="H71" s="13" t="s">
        <v>27</v>
      </c>
      <c r="I71" s="14" t="s">
        <v>115</v>
      </c>
      <c r="J71" s="14" t="s">
        <v>85</v>
      </c>
      <c r="K71" s="8" t="s">
        <v>284</v>
      </c>
      <c r="L71" s="8" t="s">
        <v>103</v>
      </c>
      <c r="M71" s="8" t="s">
        <v>216</v>
      </c>
    </row>
    <row r="72" spans="1:13" ht="26.4" x14ac:dyDescent="0.3">
      <c r="A72" s="8" t="s">
        <v>285</v>
      </c>
      <c r="B72" s="8" t="s">
        <v>163</v>
      </c>
      <c r="C72" s="10" t="s">
        <v>286</v>
      </c>
      <c r="D72" s="8" t="s">
        <v>44</v>
      </c>
      <c r="E72" s="8" t="s">
        <v>50</v>
      </c>
      <c r="F72" s="11" t="s">
        <v>83</v>
      </c>
      <c r="G72" s="12" t="s">
        <v>33</v>
      </c>
      <c r="H72" s="19" t="s">
        <v>257</v>
      </c>
      <c r="I72" s="14" t="s">
        <v>115</v>
      </c>
      <c r="J72" s="14" t="s">
        <v>188</v>
      </c>
      <c r="K72" s="8" t="s">
        <v>287</v>
      </c>
      <c r="L72" s="8" t="s">
        <v>288</v>
      </c>
      <c r="M72" s="8" t="s">
        <v>104</v>
      </c>
    </row>
    <row r="73" spans="1:13" ht="26.4" x14ac:dyDescent="0.3">
      <c r="A73" s="8" t="s">
        <v>351</v>
      </c>
      <c r="B73" s="8" t="s">
        <v>100</v>
      </c>
      <c r="C73" s="10" t="s">
        <v>352</v>
      </c>
      <c r="D73" s="8" t="s">
        <v>44</v>
      </c>
      <c r="E73" s="8" t="s">
        <v>50</v>
      </c>
      <c r="F73" s="11" t="s">
        <v>83</v>
      </c>
      <c r="G73" s="15" t="s">
        <v>35</v>
      </c>
      <c r="H73" s="13" t="s">
        <v>27</v>
      </c>
      <c r="I73" s="14" t="s">
        <v>115</v>
      </c>
      <c r="J73" s="14" t="s">
        <v>188</v>
      </c>
      <c r="K73" s="8" t="s">
        <v>287</v>
      </c>
      <c r="L73" s="8" t="s">
        <v>281</v>
      </c>
      <c r="M73" s="8" t="s">
        <v>198</v>
      </c>
    </row>
    <row r="74" spans="1:13" ht="26.4" x14ac:dyDescent="0.3">
      <c r="A74" s="8" t="s">
        <v>168</v>
      </c>
      <c r="B74" s="8" t="s">
        <v>163</v>
      </c>
      <c r="C74" s="10" t="s">
        <v>169</v>
      </c>
      <c r="D74" s="8" t="s">
        <v>38</v>
      </c>
      <c r="E74" s="8" t="s">
        <v>42</v>
      </c>
      <c r="F74" s="11" t="s">
        <v>83</v>
      </c>
      <c r="G74" s="18" t="s">
        <v>32</v>
      </c>
      <c r="H74" s="13" t="s">
        <v>27</v>
      </c>
      <c r="I74" s="14" t="s">
        <v>115</v>
      </c>
      <c r="J74" s="14" t="s">
        <v>85</v>
      </c>
      <c r="K74" s="8" t="s">
        <v>170</v>
      </c>
      <c r="L74" s="8" t="s">
        <v>166</v>
      </c>
      <c r="M74" s="8" t="s">
        <v>171</v>
      </c>
    </row>
    <row r="75" spans="1:13" ht="26.4" x14ac:dyDescent="0.3">
      <c r="A75" s="8" t="s">
        <v>289</v>
      </c>
      <c r="B75" s="8" t="s">
        <v>163</v>
      </c>
      <c r="C75" s="10" t="s">
        <v>290</v>
      </c>
      <c r="D75" s="8" t="s">
        <v>44</v>
      </c>
      <c r="E75" s="8" t="s">
        <v>50</v>
      </c>
      <c r="F75" s="11" t="s">
        <v>83</v>
      </c>
      <c r="G75" s="12" t="s">
        <v>33</v>
      </c>
      <c r="H75" s="13" t="s">
        <v>27</v>
      </c>
      <c r="I75" s="14" t="s">
        <v>115</v>
      </c>
      <c r="J75" s="14" t="s">
        <v>85</v>
      </c>
      <c r="K75" s="8" t="s">
        <v>291</v>
      </c>
      <c r="L75" s="8" t="s">
        <v>166</v>
      </c>
      <c r="M75" s="8" t="s">
        <v>277</v>
      </c>
    </row>
    <row r="76" spans="1:13" ht="26.4" x14ac:dyDescent="0.3">
      <c r="A76" s="8" t="s">
        <v>292</v>
      </c>
      <c r="B76" s="8" t="s">
        <v>163</v>
      </c>
      <c r="C76" s="10" t="s">
        <v>293</v>
      </c>
      <c r="D76" s="8" t="s">
        <v>44</v>
      </c>
      <c r="E76" s="8" t="s">
        <v>50</v>
      </c>
      <c r="F76" s="11" t="s">
        <v>83</v>
      </c>
      <c r="G76" s="12" t="s">
        <v>33</v>
      </c>
      <c r="H76" s="19" t="s">
        <v>257</v>
      </c>
      <c r="I76" s="14" t="s">
        <v>92</v>
      </c>
      <c r="J76" s="14" t="s">
        <v>85</v>
      </c>
      <c r="K76" s="8" t="s">
        <v>294</v>
      </c>
      <c r="L76" s="8" t="s">
        <v>166</v>
      </c>
      <c r="M76" s="8" t="s">
        <v>224</v>
      </c>
    </row>
    <row r="77" spans="1:13" ht="26.4" x14ac:dyDescent="0.3">
      <c r="A77" s="8" t="s">
        <v>295</v>
      </c>
      <c r="B77" s="8" t="s">
        <v>163</v>
      </c>
      <c r="C77" s="10" t="s">
        <v>296</v>
      </c>
      <c r="D77" s="8" t="s">
        <v>44</v>
      </c>
      <c r="E77" s="8" t="s">
        <v>50</v>
      </c>
      <c r="F77" s="11" t="s">
        <v>83</v>
      </c>
      <c r="G77" s="12" t="s">
        <v>33</v>
      </c>
      <c r="H77" s="13" t="s">
        <v>27</v>
      </c>
      <c r="I77" s="14" t="s">
        <v>115</v>
      </c>
      <c r="J77" s="14" t="s">
        <v>85</v>
      </c>
      <c r="K77" s="8" t="s">
        <v>297</v>
      </c>
      <c r="L77" s="8" t="s">
        <v>166</v>
      </c>
      <c r="M77" s="8" t="s">
        <v>171</v>
      </c>
    </row>
    <row r="78" spans="1:13" ht="26.4" x14ac:dyDescent="0.3">
      <c r="A78" s="8" t="s">
        <v>385</v>
      </c>
      <c r="B78" s="8" t="s">
        <v>100</v>
      </c>
      <c r="C78" s="10" t="s">
        <v>386</v>
      </c>
      <c r="D78" s="8" t="s">
        <v>52</v>
      </c>
      <c r="E78" s="8" t="s">
        <v>57</v>
      </c>
      <c r="F78" s="11" t="s">
        <v>83</v>
      </c>
      <c r="G78" s="18" t="s">
        <v>32</v>
      </c>
      <c r="H78" s="13" t="s">
        <v>27</v>
      </c>
      <c r="I78" s="14" t="s">
        <v>115</v>
      </c>
      <c r="J78" s="14" t="s">
        <v>85</v>
      </c>
      <c r="K78" s="8" t="s">
        <v>387</v>
      </c>
      <c r="L78" s="8" t="s">
        <v>387</v>
      </c>
      <c r="M78" s="8" t="s">
        <v>198</v>
      </c>
    </row>
    <row r="79" spans="1:13" ht="26.4" x14ac:dyDescent="0.3">
      <c r="A79" s="8" t="s">
        <v>298</v>
      </c>
      <c r="B79" s="8" t="s">
        <v>163</v>
      </c>
      <c r="C79" s="10" t="s">
        <v>299</v>
      </c>
      <c r="D79" s="8" t="s">
        <v>44</v>
      </c>
      <c r="E79" s="8" t="s">
        <v>50</v>
      </c>
      <c r="F79" s="11" t="s">
        <v>83</v>
      </c>
      <c r="G79" s="12" t="s">
        <v>33</v>
      </c>
      <c r="H79" s="15" t="s">
        <v>29</v>
      </c>
      <c r="I79" s="14" t="s">
        <v>115</v>
      </c>
      <c r="J79" s="14" t="s">
        <v>188</v>
      </c>
      <c r="K79" s="8" t="s">
        <v>281</v>
      </c>
      <c r="L79" s="8" t="s">
        <v>300</v>
      </c>
      <c r="M79" s="8" t="s">
        <v>104</v>
      </c>
    </row>
    <row r="80" spans="1:13" ht="26.4" x14ac:dyDescent="0.3">
      <c r="A80" s="8" t="s">
        <v>301</v>
      </c>
      <c r="B80" s="8" t="s">
        <v>100</v>
      </c>
      <c r="C80" s="10" t="s">
        <v>302</v>
      </c>
      <c r="D80" s="8" t="s">
        <v>44</v>
      </c>
      <c r="E80" s="8" t="s">
        <v>50</v>
      </c>
      <c r="F80" s="11" t="s">
        <v>83</v>
      </c>
      <c r="G80" s="12" t="s">
        <v>33</v>
      </c>
      <c r="H80" s="13" t="s">
        <v>27</v>
      </c>
      <c r="I80" s="14" t="s">
        <v>115</v>
      </c>
      <c r="J80" s="14" t="s">
        <v>85</v>
      </c>
      <c r="K80" s="8" t="s">
        <v>281</v>
      </c>
      <c r="L80" s="8" t="s">
        <v>281</v>
      </c>
      <c r="M80" s="8" t="s">
        <v>171</v>
      </c>
    </row>
    <row r="81" spans="1:13" ht="26.4" x14ac:dyDescent="0.3">
      <c r="A81" s="8" t="s">
        <v>334</v>
      </c>
      <c r="B81" s="8" t="s">
        <v>100</v>
      </c>
      <c r="C81" s="10" t="s">
        <v>335</v>
      </c>
      <c r="D81" s="8" t="s">
        <v>44</v>
      </c>
      <c r="E81" s="8" t="s">
        <v>50</v>
      </c>
      <c r="F81" s="11" t="s">
        <v>83</v>
      </c>
      <c r="G81" s="17" t="s">
        <v>34</v>
      </c>
      <c r="H81" s="13" t="s">
        <v>27</v>
      </c>
      <c r="I81" s="14" t="s">
        <v>115</v>
      </c>
      <c r="J81" s="14" t="s">
        <v>85</v>
      </c>
      <c r="K81" s="8" t="s">
        <v>336</v>
      </c>
      <c r="L81" s="8" t="s">
        <v>336</v>
      </c>
      <c r="M81" s="8" t="s">
        <v>198</v>
      </c>
    </row>
    <row r="82" spans="1:13" ht="26.4" x14ac:dyDescent="0.3">
      <c r="A82" s="8" t="s">
        <v>337</v>
      </c>
      <c r="B82" s="8" t="s">
        <v>100</v>
      </c>
      <c r="C82" s="10" t="s">
        <v>338</v>
      </c>
      <c r="D82" s="8" t="s">
        <v>44</v>
      </c>
      <c r="E82" s="8" t="s">
        <v>50</v>
      </c>
      <c r="F82" s="11" t="s">
        <v>83</v>
      </c>
      <c r="G82" s="17" t="s">
        <v>34</v>
      </c>
      <c r="H82" s="13" t="s">
        <v>27</v>
      </c>
      <c r="I82" s="14" t="s">
        <v>115</v>
      </c>
      <c r="J82" s="14" t="s">
        <v>85</v>
      </c>
      <c r="K82" s="8" t="s">
        <v>339</v>
      </c>
      <c r="L82" s="8" t="s">
        <v>340</v>
      </c>
      <c r="M82" s="8" t="s">
        <v>198</v>
      </c>
    </row>
    <row r="83" spans="1:13" ht="26.4" x14ac:dyDescent="0.3">
      <c r="A83" s="8" t="s">
        <v>229</v>
      </c>
      <c r="B83" s="8" t="s">
        <v>163</v>
      </c>
      <c r="C83" s="10" t="s">
        <v>230</v>
      </c>
      <c r="D83" s="8" t="s">
        <v>44</v>
      </c>
      <c r="E83" s="8" t="s">
        <v>47</v>
      </c>
      <c r="F83" s="11" t="s">
        <v>83</v>
      </c>
      <c r="G83" s="17" t="s">
        <v>34</v>
      </c>
      <c r="H83" s="13" t="s">
        <v>27</v>
      </c>
      <c r="I83" s="14" t="s">
        <v>115</v>
      </c>
      <c r="J83" s="14" t="s">
        <v>85</v>
      </c>
      <c r="K83" s="8" t="s">
        <v>231</v>
      </c>
      <c r="L83" s="8" t="s">
        <v>166</v>
      </c>
      <c r="M83" s="8" t="s">
        <v>198</v>
      </c>
    </row>
    <row r="84" spans="1:13" ht="26.4" x14ac:dyDescent="0.3">
      <c r="A84" s="8" t="s">
        <v>341</v>
      </c>
      <c r="B84" s="8" t="s">
        <v>163</v>
      </c>
      <c r="C84" s="10" t="s">
        <v>342</v>
      </c>
      <c r="D84" s="8" t="s">
        <v>44</v>
      </c>
      <c r="E84" s="8" t="s">
        <v>50</v>
      </c>
      <c r="F84" s="11" t="s">
        <v>83</v>
      </c>
      <c r="G84" s="17" t="s">
        <v>34</v>
      </c>
      <c r="H84" s="13" t="s">
        <v>27</v>
      </c>
      <c r="I84" s="14" t="s">
        <v>115</v>
      </c>
      <c r="J84" s="14" t="s">
        <v>85</v>
      </c>
      <c r="K84" s="8" t="s">
        <v>340</v>
      </c>
      <c r="L84" s="8" t="s">
        <v>166</v>
      </c>
      <c r="M84" s="8" t="s">
        <v>198</v>
      </c>
    </row>
    <row r="85" spans="1:13" ht="26.4" x14ac:dyDescent="0.3">
      <c r="A85" s="8" t="s">
        <v>362</v>
      </c>
      <c r="B85" s="8" t="s">
        <v>100</v>
      </c>
      <c r="C85" s="10" t="s">
        <v>363</v>
      </c>
      <c r="D85" s="8" t="s">
        <v>44</v>
      </c>
      <c r="E85" s="8" t="s">
        <v>51</v>
      </c>
      <c r="F85" s="11" t="s">
        <v>83</v>
      </c>
      <c r="G85" s="17" t="s">
        <v>34</v>
      </c>
      <c r="H85" s="13" t="s">
        <v>27</v>
      </c>
      <c r="I85" s="14" t="s">
        <v>115</v>
      </c>
      <c r="J85" s="14" t="s">
        <v>85</v>
      </c>
      <c r="K85" s="8" t="s">
        <v>340</v>
      </c>
      <c r="L85" s="8" t="s">
        <v>340</v>
      </c>
      <c r="M85" s="8" t="s">
        <v>364</v>
      </c>
    </row>
    <row r="86" spans="1:13" ht="26.4" x14ac:dyDescent="0.3">
      <c r="A86" s="8" t="s">
        <v>365</v>
      </c>
      <c r="B86" s="8" t="s">
        <v>163</v>
      </c>
      <c r="C86" s="10" t="s">
        <v>366</v>
      </c>
      <c r="D86" s="8" t="s">
        <v>52</v>
      </c>
      <c r="E86" s="8" t="s">
        <v>53</v>
      </c>
      <c r="F86" s="11" t="s">
        <v>83</v>
      </c>
      <c r="G86" s="18" t="s">
        <v>32</v>
      </c>
      <c r="H86" s="13" t="s">
        <v>27</v>
      </c>
      <c r="I86" s="14" t="s">
        <v>115</v>
      </c>
      <c r="J86" s="14" t="s">
        <v>85</v>
      </c>
      <c r="K86" s="8" t="s">
        <v>367</v>
      </c>
      <c r="L86" s="8" t="s">
        <v>166</v>
      </c>
      <c r="M86" s="8" t="s">
        <v>176</v>
      </c>
    </row>
    <row r="87" spans="1:13" ht="26.4" x14ac:dyDescent="0.3">
      <c r="A87" s="8" t="s">
        <v>373</v>
      </c>
      <c r="B87" s="8" t="s">
        <v>163</v>
      </c>
      <c r="C87" s="10" t="s">
        <v>374</v>
      </c>
      <c r="D87" s="8" t="s">
        <v>52</v>
      </c>
      <c r="E87" s="8" t="s">
        <v>55</v>
      </c>
      <c r="F87" s="11" t="s">
        <v>83</v>
      </c>
      <c r="G87" s="18" t="s">
        <v>32</v>
      </c>
      <c r="H87" s="13" t="s">
        <v>27</v>
      </c>
      <c r="I87" s="14" t="s">
        <v>115</v>
      </c>
      <c r="J87" s="14" t="s">
        <v>85</v>
      </c>
      <c r="K87" s="8" t="s">
        <v>367</v>
      </c>
      <c r="L87" s="8" t="s">
        <v>166</v>
      </c>
      <c r="M87" s="8" t="s">
        <v>171</v>
      </c>
    </row>
    <row r="88" spans="1:13" ht="26.4" x14ac:dyDescent="0.3">
      <c r="A88" s="8" t="s">
        <v>251</v>
      </c>
      <c r="B88" s="8" t="s">
        <v>163</v>
      </c>
      <c r="C88" s="10" t="s">
        <v>252</v>
      </c>
      <c r="D88" s="8" t="s">
        <v>44</v>
      </c>
      <c r="E88" s="8" t="s">
        <v>50</v>
      </c>
      <c r="F88" s="11" t="s">
        <v>83</v>
      </c>
      <c r="G88" s="18" t="s">
        <v>32</v>
      </c>
      <c r="H88" s="15" t="s">
        <v>29</v>
      </c>
      <c r="I88" s="14" t="s">
        <v>115</v>
      </c>
      <c r="J88" s="14" t="s">
        <v>85</v>
      </c>
      <c r="K88" s="8" t="s">
        <v>253</v>
      </c>
      <c r="L88" s="8" t="s">
        <v>254</v>
      </c>
      <c r="M88" s="8" t="s">
        <v>224</v>
      </c>
    </row>
    <row r="89" spans="1:13" x14ac:dyDescent="0.3">
      <c r="A89" s="8" t="s">
        <v>225</v>
      </c>
      <c r="B89" s="8" t="s">
        <v>100</v>
      </c>
      <c r="C89" s="10" t="s">
        <v>226</v>
      </c>
      <c r="D89" s="8" t="s">
        <v>44</v>
      </c>
      <c r="E89" s="8" t="s">
        <v>47</v>
      </c>
      <c r="F89" s="15" t="s">
        <v>37</v>
      </c>
      <c r="G89" s="18" t="s">
        <v>32</v>
      </c>
      <c r="H89" s="15" t="s">
        <v>29</v>
      </c>
      <c r="I89" s="14" t="s">
        <v>92</v>
      </c>
      <c r="J89" s="14" t="s">
        <v>92</v>
      </c>
      <c r="K89" s="8" t="s">
        <v>227</v>
      </c>
      <c r="L89" s="8" t="s">
        <v>228</v>
      </c>
      <c r="M89" s="8" t="s">
        <v>224</v>
      </c>
    </row>
    <row r="90" spans="1:13" ht="26.4" x14ac:dyDescent="0.3">
      <c r="A90" s="8" t="s">
        <v>255</v>
      </c>
      <c r="B90" s="8" t="s">
        <v>163</v>
      </c>
      <c r="C90" s="10" t="s">
        <v>256</v>
      </c>
      <c r="D90" s="8" t="s">
        <v>44</v>
      </c>
      <c r="E90" s="8" t="s">
        <v>50</v>
      </c>
      <c r="F90" s="11" t="s">
        <v>83</v>
      </c>
      <c r="G90" s="18" t="s">
        <v>32</v>
      </c>
      <c r="H90" s="19" t="s">
        <v>257</v>
      </c>
      <c r="I90" s="14" t="s">
        <v>115</v>
      </c>
      <c r="J90" s="14" t="s">
        <v>85</v>
      </c>
      <c r="K90" s="8" t="s">
        <v>228</v>
      </c>
      <c r="L90" s="8" t="s">
        <v>254</v>
      </c>
      <c r="M90" s="8" t="s">
        <v>224</v>
      </c>
    </row>
    <row r="91" spans="1:13" ht="26.4" x14ac:dyDescent="0.3">
      <c r="A91" s="8" t="s">
        <v>414</v>
      </c>
      <c r="B91" s="8" t="s">
        <v>100</v>
      </c>
      <c r="C91" s="10" t="s">
        <v>415</v>
      </c>
      <c r="D91" s="8" t="s">
        <v>52</v>
      </c>
      <c r="E91" s="8" t="s">
        <v>59</v>
      </c>
      <c r="F91" s="11" t="s">
        <v>83</v>
      </c>
      <c r="G91" s="12" t="s">
        <v>33</v>
      </c>
      <c r="H91" s="13" t="s">
        <v>27</v>
      </c>
      <c r="I91" s="14"/>
      <c r="J91" s="14" t="s">
        <v>115</v>
      </c>
      <c r="K91" s="8" t="s">
        <v>180</v>
      </c>
      <c r="L91" s="8" t="s">
        <v>180</v>
      </c>
      <c r="M91" s="8" t="s">
        <v>171</v>
      </c>
    </row>
    <row r="92" spans="1:13" ht="26.4" x14ac:dyDescent="0.3">
      <c r="A92" s="8" t="s">
        <v>427</v>
      </c>
      <c r="B92" s="8" t="s">
        <v>100</v>
      </c>
      <c r="C92" s="10" t="s">
        <v>428</v>
      </c>
      <c r="D92" s="8" t="s">
        <v>52</v>
      </c>
      <c r="E92" s="8" t="s">
        <v>60</v>
      </c>
      <c r="F92" s="11" t="s">
        <v>83</v>
      </c>
      <c r="G92" s="12" t="s">
        <v>33</v>
      </c>
      <c r="H92" s="16" t="s">
        <v>28</v>
      </c>
      <c r="I92" s="14"/>
      <c r="J92" s="14" t="s">
        <v>115</v>
      </c>
      <c r="K92" s="8" t="s">
        <v>180</v>
      </c>
      <c r="L92" s="8" t="s">
        <v>180</v>
      </c>
      <c r="M92" s="8" t="s">
        <v>28</v>
      </c>
    </row>
    <row r="93" spans="1:13" ht="26.4" x14ac:dyDescent="0.3">
      <c r="A93" s="8" t="s">
        <v>501</v>
      </c>
      <c r="B93" s="8" t="s">
        <v>100</v>
      </c>
      <c r="C93" s="10" t="s">
        <v>502</v>
      </c>
      <c r="D93" s="8" t="s">
        <v>63</v>
      </c>
      <c r="E93" s="8" t="s">
        <v>65</v>
      </c>
      <c r="F93" s="11" t="s">
        <v>83</v>
      </c>
      <c r="G93" s="12" t="s">
        <v>33</v>
      </c>
      <c r="H93" s="16" t="s">
        <v>28</v>
      </c>
      <c r="I93" s="14" t="s">
        <v>92</v>
      </c>
      <c r="J93" s="14" t="s">
        <v>115</v>
      </c>
      <c r="K93" s="8" t="s">
        <v>180</v>
      </c>
      <c r="L93" s="8" t="s">
        <v>503</v>
      </c>
      <c r="M93" s="8" t="s">
        <v>216</v>
      </c>
    </row>
    <row r="94" spans="1:13" ht="26.4" x14ac:dyDescent="0.3">
      <c r="A94" s="8" t="s">
        <v>504</v>
      </c>
      <c r="B94" s="8" t="s">
        <v>100</v>
      </c>
      <c r="C94" s="10" t="s">
        <v>505</v>
      </c>
      <c r="D94" s="8" t="s">
        <v>63</v>
      </c>
      <c r="E94" s="8" t="s">
        <v>65</v>
      </c>
      <c r="F94" s="11" t="s">
        <v>83</v>
      </c>
      <c r="G94" s="12" t="s">
        <v>33</v>
      </c>
      <c r="H94" s="16" t="s">
        <v>28</v>
      </c>
      <c r="I94" s="14"/>
      <c r="J94" s="14" t="s">
        <v>115</v>
      </c>
      <c r="K94" s="8" t="s">
        <v>180</v>
      </c>
      <c r="L94" s="8" t="s">
        <v>506</v>
      </c>
      <c r="M94" s="8"/>
    </row>
    <row r="95" spans="1:13" ht="26.4" x14ac:dyDescent="0.3">
      <c r="A95" s="8" t="s">
        <v>507</v>
      </c>
      <c r="B95" s="8" t="s">
        <v>100</v>
      </c>
      <c r="C95" s="10" t="s">
        <v>508</v>
      </c>
      <c r="D95" s="8" t="s">
        <v>63</v>
      </c>
      <c r="E95" s="8" t="s">
        <v>65</v>
      </c>
      <c r="F95" s="11" t="s">
        <v>83</v>
      </c>
      <c r="G95" s="12" t="s">
        <v>33</v>
      </c>
      <c r="H95" s="16" t="s">
        <v>28</v>
      </c>
      <c r="I95" s="14"/>
      <c r="J95" s="14" t="s">
        <v>115</v>
      </c>
      <c r="K95" s="8" t="s">
        <v>180</v>
      </c>
      <c r="L95" s="8" t="s">
        <v>180</v>
      </c>
      <c r="M95" s="8" t="s">
        <v>216</v>
      </c>
    </row>
    <row r="96" spans="1:13" ht="26.4" x14ac:dyDescent="0.3">
      <c r="A96" s="8" t="s">
        <v>625</v>
      </c>
      <c r="B96" s="8" t="s">
        <v>100</v>
      </c>
      <c r="C96" s="10" t="s">
        <v>626</v>
      </c>
      <c r="D96" s="8" t="s">
        <v>17</v>
      </c>
      <c r="E96" s="8" t="s">
        <v>68</v>
      </c>
      <c r="F96" s="11" t="s">
        <v>83</v>
      </c>
      <c r="G96" s="12" t="s">
        <v>33</v>
      </c>
      <c r="H96" s="13" t="s">
        <v>27</v>
      </c>
      <c r="I96" s="14" t="s">
        <v>92</v>
      </c>
      <c r="J96" s="14" t="s">
        <v>115</v>
      </c>
      <c r="K96" s="8" t="s">
        <v>180</v>
      </c>
      <c r="L96" s="8" t="s">
        <v>503</v>
      </c>
      <c r="M96" s="8" t="s">
        <v>216</v>
      </c>
    </row>
    <row r="97" spans="1:13" ht="26.4" x14ac:dyDescent="0.3">
      <c r="A97" s="8" t="s">
        <v>627</v>
      </c>
      <c r="B97" s="8" t="s">
        <v>100</v>
      </c>
      <c r="C97" s="10" t="s">
        <v>628</v>
      </c>
      <c r="D97" s="8" t="s">
        <v>17</v>
      </c>
      <c r="E97" s="8" t="s">
        <v>68</v>
      </c>
      <c r="F97" s="15" t="s">
        <v>37</v>
      </c>
      <c r="G97" s="12" t="s">
        <v>33</v>
      </c>
      <c r="H97" s="13" t="s">
        <v>27</v>
      </c>
      <c r="I97" s="14" t="s">
        <v>92</v>
      </c>
      <c r="J97" s="14" t="s">
        <v>115</v>
      </c>
      <c r="K97" s="8" t="s">
        <v>180</v>
      </c>
      <c r="L97" s="8" t="s">
        <v>629</v>
      </c>
      <c r="M97" s="8" t="s">
        <v>216</v>
      </c>
    </row>
    <row r="98" spans="1:13" ht="26.4" x14ac:dyDescent="0.3">
      <c r="A98" s="8" t="s">
        <v>630</v>
      </c>
      <c r="B98" s="8" t="s">
        <v>100</v>
      </c>
      <c r="C98" s="10" t="s">
        <v>631</v>
      </c>
      <c r="D98" s="8" t="s">
        <v>17</v>
      </c>
      <c r="E98" s="8" t="s">
        <v>68</v>
      </c>
      <c r="F98" s="11" t="s">
        <v>83</v>
      </c>
      <c r="G98" s="12" t="s">
        <v>33</v>
      </c>
      <c r="H98" s="13" t="s">
        <v>27</v>
      </c>
      <c r="I98" s="14"/>
      <c r="J98" s="14" t="s">
        <v>115</v>
      </c>
      <c r="K98" s="8" t="s">
        <v>180</v>
      </c>
      <c r="L98" s="8" t="s">
        <v>180</v>
      </c>
      <c r="M98" s="8" t="s">
        <v>216</v>
      </c>
    </row>
    <row r="99" spans="1:13" ht="26.4" x14ac:dyDescent="0.3">
      <c r="A99" s="8" t="s">
        <v>632</v>
      </c>
      <c r="B99" s="8" t="s">
        <v>100</v>
      </c>
      <c r="C99" s="10" t="s">
        <v>633</v>
      </c>
      <c r="D99" s="8" t="s">
        <v>17</v>
      </c>
      <c r="E99" s="8" t="s">
        <v>68</v>
      </c>
      <c r="F99" s="17" t="s">
        <v>634</v>
      </c>
      <c r="G99" s="12" t="s">
        <v>33</v>
      </c>
      <c r="H99" s="13" t="s">
        <v>27</v>
      </c>
      <c r="I99" s="14"/>
      <c r="J99" s="14" t="s">
        <v>115</v>
      </c>
      <c r="K99" s="8" t="s">
        <v>180</v>
      </c>
      <c r="L99" s="8" t="s">
        <v>180</v>
      </c>
      <c r="M99" s="8" t="s">
        <v>171</v>
      </c>
    </row>
    <row r="100" spans="1:13" ht="26.4" x14ac:dyDescent="0.3">
      <c r="A100" s="8" t="s">
        <v>635</v>
      </c>
      <c r="B100" s="8" t="s">
        <v>100</v>
      </c>
      <c r="C100" s="10" t="s">
        <v>636</v>
      </c>
      <c r="D100" s="8" t="s">
        <v>17</v>
      </c>
      <c r="E100" s="8" t="s">
        <v>68</v>
      </c>
      <c r="F100" s="11" t="s">
        <v>83</v>
      </c>
      <c r="G100" s="12" t="s">
        <v>33</v>
      </c>
      <c r="H100" s="13" t="s">
        <v>27</v>
      </c>
      <c r="I100" s="14"/>
      <c r="J100" s="14" t="s">
        <v>115</v>
      </c>
      <c r="K100" s="8" t="s">
        <v>180</v>
      </c>
      <c r="L100" s="8" t="s">
        <v>180</v>
      </c>
      <c r="M100" s="8" t="s">
        <v>637</v>
      </c>
    </row>
    <row r="101" spans="1:13" ht="26.4" x14ac:dyDescent="0.3">
      <c r="A101" s="8" t="s">
        <v>638</v>
      </c>
      <c r="B101" s="8" t="s">
        <v>100</v>
      </c>
      <c r="C101" s="10" t="s">
        <v>639</v>
      </c>
      <c r="D101" s="8" t="s">
        <v>17</v>
      </c>
      <c r="E101" s="8" t="s">
        <v>68</v>
      </c>
      <c r="F101" s="17" t="s">
        <v>634</v>
      </c>
      <c r="G101" s="12" t="s">
        <v>33</v>
      </c>
      <c r="H101" s="13" t="s">
        <v>27</v>
      </c>
      <c r="I101" s="14"/>
      <c r="J101" s="14" t="s">
        <v>115</v>
      </c>
      <c r="K101" s="8" t="s">
        <v>180</v>
      </c>
      <c r="L101" s="8" t="s">
        <v>180</v>
      </c>
      <c r="M101" s="8" t="s">
        <v>171</v>
      </c>
    </row>
    <row r="102" spans="1:13" ht="26.4" x14ac:dyDescent="0.3">
      <c r="A102" s="8" t="s">
        <v>220</v>
      </c>
      <c r="B102" s="8" t="s">
        <v>100</v>
      </c>
      <c r="C102" s="10" t="s">
        <v>221</v>
      </c>
      <c r="D102" s="8" t="s">
        <v>44</v>
      </c>
      <c r="E102" s="8" t="s">
        <v>46</v>
      </c>
      <c r="F102" s="11" t="s">
        <v>83</v>
      </c>
      <c r="G102" s="18" t="s">
        <v>32</v>
      </c>
      <c r="H102" s="16" t="s">
        <v>28</v>
      </c>
      <c r="I102" s="14" t="s">
        <v>92</v>
      </c>
      <c r="J102" s="14" t="s">
        <v>85</v>
      </c>
      <c r="K102" s="8" t="s">
        <v>222</v>
      </c>
      <c r="L102" s="8" t="s">
        <v>223</v>
      </c>
      <c r="M102" s="8" t="s">
        <v>224</v>
      </c>
    </row>
    <row r="103" spans="1:13" ht="26.4" x14ac:dyDescent="0.3">
      <c r="A103" s="8" t="s">
        <v>392</v>
      </c>
      <c r="B103" s="8" t="s">
        <v>100</v>
      </c>
      <c r="C103" s="10" t="s">
        <v>393</v>
      </c>
      <c r="D103" s="8" t="s">
        <v>52</v>
      </c>
      <c r="E103" s="8" t="s">
        <v>57</v>
      </c>
      <c r="F103" s="11" t="s">
        <v>83</v>
      </c>
      <c r="G103" s="12" t="s">
        <v>33</v>
      </c>
      <c r="H103" s="13" t="s">
        <v>27</v>
      </c>
      <c r="I103" s="14" t="s">
        <v>115</v>
      </c>
      <c r="J103" s="14" t="s">
        <v>85</v>
      </c>
      <c r="K103" s="8" t="s">
        <v>300</v>
      </c>
      <c r="L103" s="8" t="s">
        <v>300</v>
      </c>
      <c r="M103" s="8" t="s">
        <v>394</v>
      </c>
    </row>
    <row r="104" spans="1:13" x14ac:dyDescent="0.3">
      <c r="A104" s="8" t="s">
        <v>303</v>
      </c>
      <c r="B104" s="8" t="s">
        <v>163</v>
      </c>
      <c r="C104" s="10" t="s">
        <v>304</v>
      </c>
      <c r="D104" s="8" t="s">
        <v>44</v>
      </c>
      <c r="E104" s="8" t="s">
        <v>50</v>
      </c>
      <c r="F104" s="11" t="s">
        <v>83</v>
      </c>
      <c r="G104" s="12" t="s">
        <v>33</v>
      </c>
      <c r="H104" s="13" t="s">
        <v>27</v>
      </c>
      <c r="I104" s="14" t="s">
        <v>92</v>
      </c>
      <c r="J104" s="14" t="s">
        <v>188</v>
      </c>
      <c r="K104" s="8" t="s">
        <v>305</v>
      </c>
      <c r="L104" s="8" t="s">
        <v>306</v>
      </c>
      <c r="M104" s="8" t="s">
        <v>216</v>
      </c>
    </row>
    <row r="105" spans="1:13" x14ac:dyDescent="0.3">
      <c r="A105" s="8" t="s">
        <v>258</v>
      </c>
      <c r="B105" s="8" t="s">
        <v>100</v>
      </c>
      <c r="C105" s="10" t="s">
        <v>259</v>
      </c>
      <c r="D105" s="8" t="s">
        <v>44</v>
      </c>
      <c r="E105" s="8" t="s">
        <v>50</v>
      </c>
      <c r="F105" s="11" t="s">
        <v>83</v>
      </c>
      <c r="G105" s="18" t="s">
        <v>32</v>
      </c>
      <c r="H105" s="13" t="s">
        <v>27</v>
      </c>
      <c r="I105" s="14" t="s">
        <v>92</v>
      </c>
      <c r="J105" s="14" t="s">
        <v>85</v>
      </c>
      <c r="K105" s="8" t="s">
        <v>260</v>
      </c>
      <c r="L105" s="8" t="s">
        <v>260</v>
      </c>
      <c r="M105" s="8" t="s">
        <v>216</v>
      </c>
    </row>
    <row r="106" spans="1:13" x14ac:dyDescent="0.3">
      <c r="A106" s="8" t="s">
        <v>616</v>
      </c>
      <c r="B106" s="8" t="s">
        <v>100</v>
      </c>
      <c r="C106" s="10" t="s">
        <v>617</v>
      </c>
      <c r="D106" s="8" t="s">
        <v>17</v>
      </c>
      <c r="E106" s="8" t="s">
        <v>68</v>
      </c>
      <c r="F106" s="15" t="s">
        <v>37</v>
      </c>
      <c r="G106" s="18" t="s">
        <v>32</v>
      </c>
      <c r="H106" s="16" t="s">
        <v>28</v>
      </c>
      <c r="I106" s="14" t="s">
        <v>92</v>
      </c>
      <c r="J106" s="14" t="s">
        <v>92</v>
      </c>
      <c r="K106" s="8" t="s">
        <v>260</v>
      </c>
      <c r="L106" s="8" t="s">
        <v>260</v>
      </c>
      <c r="M106" s="8" t="s">
        <v>224</v>
      </c>
    </row>
    <row r="107" spans="1:13" ht="26.4" x14ac:dyDescent="0.3">
      <c r="A107" s="8" t="s">
        <v>307</v>
      </c>
      <c r="B107" s="8" t="s">
        <v>163</v>
      </c>
      <c r="C107" s="10" t="s">
        <v>308</v>
      </c>
      <c r="D107" s="8" t="s">
        <v>44</v>
      </c>
      <c r="E107" s="8" t="s">
        <v>50</v>
      </c>
      <c r="F107" s="11" t="s">
        <v>83</v>
      </c>
      <c r="G107" s="12" t="s">
        <v>33</v>
      </c>
      <c r="H107" s="13" t="s">
        <v>27</v>
      </c>
      <c r="I107" s="14" t="s">
        <v>92</v>
      </c>
      <c r="J107" s="14" t="s">
        <v>188</v>
      </c>
      <c r="K107" s="8" t="s">
        <v>309</v>
      </c>
      <c r="L107" s="8" t="s">
        <v>309</v>
      </c>
      <c r="M107" s="8" t="s">
        <v>171</v>
      </c>
    </row>
    <row r="108" spans="1:13" x14ac:dyDescent="0.3">
      <c r="A108" s="8" t="s">
        <v>395</v>
      </c>
      <c r="B108" s="8" t="s">
        <v>100</v>
      </c>
      <c r="C108" s="10" t="s">
        <v>396</v>
      </c>
      <c r="D108" s="8" t="s">
        <v>52</v>
      </c>
      <c r="E108" s="8" t="s">
        <v>57</v>
      </c>
      <c r="F108" s="15" t="s">
        <v>37</v>
      </c>
      <c r="G108" s="12" t="s">
        <v>33</v>
      </c>
      <c r="H108" s="16" t="s">
        <v>28</v>
      </c>
      <c r="I108" s="14" t="s">
        <v>92</v>
      </c>
      <c r="J108" s="14" t="s">
        <v>92</v>
      </c>
      <c r="K108" s="8" t="s">
        <v>309</v>
      </c>
      <c r="L108" s="8" t="s">
        <v>309</v>
      </c>
      <c r="M108" s="8" t="s">
        <v>176</v>
      </c>
    </row>
    <row r="109" spans="1:13" ht="26.4" x14ac:dyDescent="0.3">
      <c r="A109" s="8" t="s">
        <v>310</v>
      </c>
      <c r="B109" s="8" t="s">
        <v>100</v>
      </c>
      <c r="C109" s="10" t="s">
        <v>311</v>
      </c>
      <c r="D109" s="8" t="s">
        <v>44</v>
      </c>
      <c r="E109" s="8" t="s">
        <v>50</v>
      </c>
      <c r="F109" s="11" t="s">
        <v>83</v>
      </c>
      <c r="G109" s="12" t="s">
        <v>33</v>
      </c>
      <c r="H109" s="13" t="s">
        <v>27</v>
      </c>
      <c r="I109" s="14" t="s">
        <v>115</v>
      </c>
      <c r="J109" s="14" t="s">
        <v>85</v>
      </c>
      <c r="K109" s="8" t="s">
        <v>312</v>
      </c>
      <c r="L109" s="8" t="s">
        <v>312</v>
      </c>
      <c r="M109" s="8" t="s">
        <v>171</v>
      </c>
    </row>
    <row r="110" spans="1:13" ht="26.4" x14ac:dyDescent="0.3">
      <c r="A110" s="8" t="s">
        <v>261</v>
      </c>
      <c r="B110" s="8" t="s">
        <v>163</v>
      </c>
      <c r="C110" s="10" t="s">
        <v>262</v>
      </c>
      <c r="D110" s="8" t="s">
        <v>44</v>
      </c>
      <c r="E110" s="8" t="s">
        <v>50</v>
      </c>
      <c r="F110" s="15" t="s">
        <v>37</v>
      </c>
      <c r="G110" s="18" t="s">
        <v>32</v>
      </c>
      <c r="H110" s="15" t="s">
        <v>29</v>
      </c>
      <c r="I110" s="14" t="s">
        <v>92</v>
      </c>
      <c r="J110" s="14" t="s">
        <v>85</v>
      </c>
      <c r="K110" s="8" t="s">
        <v>263</v>
      </c>
      <c r="L110" s="8" t="s">
        <v>264</v>
      </c>
      <c r="M110" s="8"/>
    </row>
    <row r="111" spans="1:13" ht="26.4" x14ac:dyDescent="0.3">
      <c r="A111" s="8" t="s">
        <v>429</v>
      </c>
      <c r="B111" s="8" t="s">
        <v>100</v>
      </c>
      <c r="C111" s="10" t="s">
        <v>430</v>
      </c>
      <c r="D111" s="8" t="s">
        <v>52</v>
      </c>
      <c r="E111" s="8" t="s">
        <v>60</v>
      </c>
      <c r="F111" s="11" t="s">
        <v>83</v>
      </c>
      <c r="G111" s="12" t="s">
        <v>33</v>
      </c>
      <c r="H111" s="13" t="s">
        <v>27</v>
      </c>
      <c r="I111" s="14" t="s">
        <v>115</v>
      </c>
      <c r="J111" s="14" t="s">
        <v>85</v>
      </c>
      <c r="K111" s="8" t="s">
        <v>431</v>
      </c>
      <c r="L111" s="8" t="s">
        <v>431</v>
      </c>
      <c r="M111" s="8" t="s">
        <v>171</v>
      </c>
    </row>
    <row r="112" spans="1:13" ht="26.4" x14ac:dyDescent="0.3">
      <c r="A112" s="8" t="s">
        <v>313</v>
      </c>
      <c r="B112" s="8" t="s">
        <v>163</v>
      </c>
      <c r="C112" s="10" t="s">
        <v>314</v>
      </c>
      <c r="D112" s="8" t="s">
        <v>44</v>
      </c>
      <c r="E112" s="8" t="s">
        <v>50</v>
      </c>
      <c r="F112" s="11" t="s">
        <v>83</v>
      </c>
      <c r="G112" s="12" t="s">
        <v>33</v>
      </c>
      <c r="H112" s="13" t="s">
        <v>27</v>
      </c>
      <c r="I112" s="14" t="s">
        <v>115</v>
      </c>
      <c r="J112" s="14" t="s">
        <v>188</v>
      </c>
      <c r="K112" s="8" t="s">
        <v>315</v>
      </c>
      <c r="L112" s="8" t="s">
        <v>315</v>
      </c>
      <c r="M112" s="8" t="s">
        <v>198</v>
      </c>
    </row>
    <row r="113" spans="1:13" x14ac:dyDescent="0.3">
      <c r="A113" s="8" t="s">
        <v>486</v>
      </c>
      <c r="B113" s="8"/>
      <c r="C113" s="10" t="s">
        <v>487</v>
      </c>
      <c r="D113" s="8" t="s">
        <v>63</v>
      </c>
      <c r="E113" s="8" t="s">
        <v>65</v>
      </c>
      <c r="F113" s="15" t="s">
        <v>37</v>
      </c>
      <c r="G113" s="18" t="s">
        <v>32</v>
      </c>
      <c r="H113" s="12" t="s">
        <v>31</v>
      </c>
      <c r="I113" s="14" t="s">
        <v>92</v>
      </c>
      <c r="J113" s="14" t="s">
        <v>85</v>
      </c>
      <c r="K113" s="8" t="s">
        <v>488</v>
      </c>
      <c r="L113" s="8" t="s">
        <v>489</v>
      </c>
      <c r="M113" s="8"/>
    </row>
    <row r="114" spans="1:13" x14ac:dyDescent="0.3">
      <c r="A114" s="8" t="s">
        <v>490</v>
      </c>
      <c r="B114" s="8"/>
      <c r="C114" s="10" t="s">
        <v>491</v>
      </c>
      <c r="D114" s="8" t="s">
        <v>63</v>
      </c>
      <c r="E114" s="8" t="s">
        <v>65</v>
      </c>
      <c r="F114" s="15" t="s">
        <v>37</v>
      </c>
      <c r="G114" s="18" t="s">
        <v>32</v>
      </c>
      <c r="H114" s="19" t="s">
        <v>257</v>
      </c>
      <c r="I114" s="14" t="s">
        <v>92</v>
      </c>
      <c r="J114" s="14" t="s">
        <v>85</v>
      </c>
      <c r="K114" s="8" t="s">
        <v>488</v>
      </c>
      <c r="L114" s="8" t="s">
        <v>404</v>
      </c>
      <c r="M114" s="8"/>
    </row>
    <row r="115" spans="1:13" ht="39.6" x14ac:dyDescent="0.3">
      <c r="A115" s="8" t="s">
        <v>318</v>
      </c>
      <c r="B115" s="8"/>
      <c r="C115" s="10" t="s">
        <v>319</v>
      </c>
      <c r="D115" s="8" t="s">
        <v>44</v>
      </c>
      <c r="E115" s="8" t="s">
        <v>50</v>
      </c>
      <c r="F115" s="11" t="s">
        <v>83</v>
      </c>
      <c r="G115" s="12" t="s">
        <v>33</v>
      </c>
      <c r="H115" s="13" t="s">
        <v>27</v>
      </c>
      <c r="I115" s="14" t="s">
        <v>92</v>
      </c>
      <c r="J115" s="14" t="s">
        <v>85</v>
      </c>
      <c r="K115" s="8" t="s">
        <v>320</v>
      </c>
      <c r="L115" s="8" t="s">
        <v>321</v>
      </c>
      <c r="M115" s="8"/>
    </row>
    <row r="116" spans="1:13" ht="26.4" x14ac:dyDescent="0.3">
      <c r="A116" s="8" t="s">
        <v>81</v>
      </c>
      <c r="B116" s="8"/>
      <c r="C116" s="10" t="s">
        <v>82</v>
      </c>
      <c r="D116" s="8" t="s">
        <v>38</v>
      </c>
      <c r="E116" s="8" t="s">
        <v>39</v>
      </c>
      <c r="F116" s="11" t="s">
        <v>83</v>
      </c>
      <c r="G116" s="12" t="s">
        <v>33</v>
      </c>
      <c r="H116" s="13" t="s">
        <v>27</v>
      </c>
      <c r="I116" s="14" t="s">
        <v>84</v>
      </c>
      <c r="J116" s="14" t="s">
        <v>85</v>
      </c>
      <c r="K116" s="8" t="s">
        <v>86</v>
      </c>
      <c r="L116" s="8" t="s">
        <v>87</v>
      </c>
      <c r="M116" s="8"/>
    </row>
    <row r="117" spans="1:13" ht="26.4" x14ac:dyDescent="0.3">
      <c r="A117" s="8" t="s">
        <v>88</v>
      </c>
      <c r="B117" s="8"/>
      <c r="C117" s="10" t="s">
        <v>89</v>
      </c>
      <c r="D117" s="8" t="s">
        <v>38</v>
      </c>
      <c r="E117" s="8" t="s">
        <v>39</v>
      </c>
      <c r="F117" s="11" t="s">
        <v>83</v>
      </c>
      <c r="G117" s="12" t="s">
        <v>33</v>
      </c>
      <c r="H117" s="13" t="s">
        <v>27</v>
      </c>
      <c r="I117" s="14" t="s">
        <v>84</v>
      </c>
      <c r="J117" s="14" t="s">
        <v>85</v>
      </c>
      <c r="K117" s="8" t="s">
        <v>86</v>
      </c>
      <c r="L117" s="8" t="s">
        <v>86</v>
      </c>
      <c r="M117" s="8"/>
    </row>
    <row r="118" spans="1:13" x14ac:dyDescent="0.3">
      <c r="A118" s="8" t="s">
        <v>90</v>
      </c>
      <c r="B118" s="8"/>
      <c r="C118" s="10" t="s">
        <v>91</v>
      </c>
      <c r="D118" s="8" t="s">
        <v>38</v>
      </c>
      <c r="E118" s="8" t="s">
        <v>39</v>
      </c>
      <c r="F118" s="11" t="s">
        <v>83</v>
      </c>
      <c r="G118" s="12" t="s">
        <v>33</v>
      </c>
      <c r="H118" s="13" t="s">
        <v>27</v>
      </c>
      <c r="I118" s="14" t="s">
        <v>92</v>
      </c>
      <c r="J118" s="14" t="s">
        <v>85</v>
      </c>
      <c r="K118" s="8" t="s">
        <v>86</v>
      </c>
      <c r="L118" s="8" t="s">
        <v>87</v>
      </c>
      <c r="M118" s="8"/>
    </row>
    <row r="119" spans="1:13" x14ac:dyDescent="0.3">
      <c r="A119" s="8" t="s">
        <v>124</v>
      </c>
      <c r="B119" s="8"/>
      <c r="C119" s="10" t="s">
        <v>125</v>
      </c>
      <c r="D119" s="8" t="s">
        <v>38</v>
      </c>
      <c r="E119" s="8" t="s">
        <v>13</v>
      </c>
      <c r="F119" s="11" t="s">
        <v>83</v>
      </c>
      <c r="G119" s="12" t="s">
        <v>33</v>
      </c>
      <c r="H119" s="13" t="s">
        <v>27</v>
      </c>
      <c r="I119" s="14" t="s">
        <v>92</v>
      </c>
      <c r="J119" s="14" t="s">
        <v>85</v>
      </c>
      <c r="K119" s="8" t="s">
        <v>86</v>
      </c>
      <c r="L119" s="8" t="s">
        <v>126</v>
      </c>
      <c r="M119" s="8"/>
    </row>
    <row r="120" spans="1:13" ht="26.4" x14ac:dyDescent="0.3">
      <c r="A120" s="8" t="s">
        <v>182</v>
      </c>
      <c r="B120" s="8"/>
      <c r="C120" s="10" t="s">
        <v>183</v>
      </c>
      <c r="D120" s="8" t="s">
        <v>38</v>
      </c>
      <c r="E120" s="8" t="s">
        <v>43</v>
      </c>
      <c r="F120" s="11" t="s">
        <v>83</v>
      </c>
      <c r="G120" s="12" t="s">
        <v>33</v>
      </c>
      <c r="H120" s="13" t="s">
        <v>27</v>
      </c>
      <c r="I120" s="14" t="s">
        <v>84</v>
      </c>
      <c r="J120" s="14" t="s">
        <v>85</v>
      </c>
      <c r="K120" s="8" t="s">
        <v>86</v>
      </c>
      <c r="L120" s="8" t="s">
        <v>86</v>
      </c>
      <c r="M120" s="8"/>
    </row>
    <row r="121" spans="1:13" ht="26.4" x14ac:dyDescent="0.3">
      <c r="A121" s="8" t="s">
        <v>371</v>
      </c>
      <c r="B121" s="8"/>
      <c r="C121" s="10" t="s">
        <v>372</v>
      </c>
      <c r="D121" s="8" t="s">
        <v>52</v>
      </c>
      <c r="E121" s="8" t="s">
        <v>54</v>
      </c>
      <c r="F121" s="11" t="s">
        <v>83</v>
      </c>
      <c r="G121" s="17" t="s">
        <v>34</v>
      </c>
      <c r="H121" s="13" t="s">
        <v>27</v>
      </c>
      <c r="I121" s="14" t="s">
        <v>92</v>
      </c>
      <c r="J121" s="14" t="s">
        <v>85</v>
      </c>
      <c r="K121" s="8" t="s">
        <v>86</v>
      </c>
      <c r="L121" s="8" t="s">
        <v>87</v>
      </c>
      <c r="M121" s="8"/>
    </row>
    <row r="122" spans="1:13" ht="26.4" x14ac:dyDescent="0.3">
      <c r="A122" s="8" t="s">
        <v>378</v>
      </c>
      <c r="B122" s="8"/>
      <c r="C122" s="10" t="s">
        <v>379</v>
      </c>
      <c r="D122" s="8" t="s">
        <v>52</v>
      </c>
      <c r="E122" s="8" t="s">
        <v>55</v>
      </c>
      <c r="F122" s="11" t="s">
        <v>83</v>
      </c>
      <c r="G122" s="12" t="s">
        <v>33</v>
      </c>
      <c r="H122" s="13" t="s">
        <v>27</v>
      </c>
      <c r="I122" s="14" t="s">
        <v>84</v>
      </c>
      <c r="J122" s="14" t="s">
        <v>85</v>
      </c>
      <c r="K122" s="8" t="s">
        <v>86</v>
      </c>
      <c r="L122" s="8" t="s">
        <v>86</v>
      </c>
      <c r="M122" s="8"/>
    </row>
    <row r="123" spans="1:13" ht="26.4" x14ac:dyDescent="0.3">
      <c r="A123" s="8" t="s">
        <v>383</v>
      </c>
      <c r="B123" s="8"/>
      <c r="C123" s="10" t="s">
        <v>384</v>
      </c>
      <c r="D123" s="8" t="s">
        <v>52</v>
      </c>
      <c r="E123" s="8" t="s">
        <v>56</v>
      </c>
      <c r="F123" s="11" t="s">
        <v>83</v>
      </c>
      <c r="G123" s="12" t="s">
        <v>33</v>
      </c>
      <c r="H123" s="13" t="s">
        <v>27</v>
      </c>
      <c r="I123" s="14" t="s">
        <v>84</v>
      </c>
      <c r="J123" s="14" t="s">
        <v>85</v>
      </c>
      <c r="K123" s="8" t="s">
        <v>86</v>
      </c>
      <c r="L123" s="8" t="s">
        <v>153</v>
      </c>
      <c r="M123" s="8"/>
    </row>
    <row r="124" spans="1:13" x14ac:dyDescent="0.3">
      <c r="A124" s="8" t="s">
        <v>402</v>
      </c>
      <c r="B124" s="8"/>
      <c r="C124" s="10" t="s">
        <v>403</v>
      </c>
      <c r="D124" s="8" t="s">
        <v>52</v>
      </c>
      <c r="E124" s="8" t="s">
        <v>58</v>
      </c>
      <c r="F124" s="11" t="s">
        <v>83</v>
      </c>
      <c r="G124" s="12" t="s">
        <v>33</v>
      </c>
      <c r="H124" s="19" t="s">
        <v>257</v>
      </c>
      <c r="I124" s="14" t="s">
        <v>92</v>
      </c>
      <c r="J124" s="14" t="s">
        <v>85</v>
      </c>
      <c r="K124" s="8" t="s">
        <v>86</v>
      </c>
      <c r="L124" s="8" t="s">
        <v>404</v>
      </c>
      <c r="M124" s="8"/>
    </row>
    <row r="125" spans="1:13" x14ac:dyDescent="0.3">
      <c r="A125" s="8" t="s">
        <v>405</v>
      </c>
      <c r="B125" s="8"/>
      <c r="C125" s="10" t="s">
        <v>406</v>
      </c>
      <c r="D125" s="8" t="s">
        <v>52</v>
      </c>
      <c r="E125" s="8" t="s">
        <v>58</v>
      </c>
      <c r="F125" s="11" t="s">
        <v>83</v>
      </c>
      <c r="G125" s="12" t="s">
        <v>33</v>
      </c>
      <c r="H125" s="16" t="s">
        <v>28</v>
      </c>
      <c r="I125" s="14" t="s">
        <v>92</v>
      </c>
      <c r="J125" s="14" t="s">
        <v>85</v>
      </c>
      <c r="K125" s="8" t="s">
        <v>86</v>
      </c>
      <c r="L125" s="8" t="s">
        <v>129</v>
      </c>
      <c r="M125" s="8"/>
    </row>
    <row r="126" spans="1:13" ht="26.4" x14ac:dyDescent="0.3">
      <c r="A126" s="8" t="s">
        <v>416</v>
      </c>
      <c r="B126" s="8"/>
      <c r="C126" s="10" t="s">
        <v>417</v>
      </c>
      <c r="D126" s="8" t="s">
        <v>52</v>
      </c>
      <c r="E126" s="8" t="s">
        <v>59</v>
      </c>
      <c r="F126" s="11" t="s">
        <v>83</v>
      </c>
      <c r="G126" s="12" t="s">
        <v>33</v>
      </c>
      <c r="H126" s="13" t="s">
        <v>27</v>
      </c>
      <c r="I126" s="14" t="s">
        <v>84</v>
      </c>
      <c r="J126" s="14" t="s">
        <v>85</v>
      </c>
      <c r="K126" s="8" t="s">
        <v>86</v>
      </c>
      <c r="L126" s="8" t="s">
        <v>86</v>
      </c>
      <c r="M126" s="8"/>
    </row>
    <row r="127" spans="1:13" ht="26.4" x14ac:dyDescent="0.3">
      <c r="A127" s="8" t="s">
        <v>418</v>
      </c>
      <c r="B127" s="8"/>
      <c r="C127" s="10" t="s">
        <v>419</v>
      </c>
      <c r="D127" s="8" t="s">
        <v>52</v>
      </c>
      <c r="E127" s="8" t="s">
        <v>59</v>
      </c>
      <c r="F127" s="11" t="s">
        <v>83</v>
      </c>
      <c r="G127" s="12" t="s">
        <v>33</v>
      </c>
      <c r="H127" s="13" t="s">
        <v>27</v>
      </c>
      <c r="I127" s="14" t="s">
        <v>84</v>
      </c>
      <c r="J127" s="14" t="s">
        <v>85</v>
      </c>
      <c r="K127" s="8" t="s">
        <v>86</v>
      </c>
      <c r="L127" s="8" t="s">
        <v>86</v>
      </c>
      <c r="M127" s="8"/>
    </row>
    <row r="128" spans="1:13" ht="26.4" x14ac:dyDescent="0.3">
      <c r="A128" s="8" t="s">
        <v>432</v>
      </c>
      <c r="B128" s="8"/>
      <c r="C128" s="10" t="s">
        <v>433</v>
      </c>
      <c r="D128" s="8" t="s">
        <v>52</v>
      </c>
      <c r="E128" s="8" t="s">
        <v>60</v>
      </c>
      <c r="F128" s="11" t="s">
        <v>83</v>
      </c>
      <c r="G128" s="12" t="s">
        <v>33</v>
      </c>
      <c r="H128" s="13" t="s">
        <v>27</v>
      </c>
      <c r="I128" s="14" t="s">
        <v>92</v>
      </c>
      <c r="J128" s="14" t="s">
        <v>85</v>
      </c>
      <c r="K128" s="8" t="s">
        <v>86</v>
      </c>
      <c r="L128" s="8" t="s">
        <v>87</v>
      </c>
      <c r="M128" s="8"/>
    </row>
    <row r="129" spans="1:13" x14ac:dyDescent="0.3">
      <c r="A129" s="8" t="s">
        <v>434</v>
      </c>
      <c r="B129" s="8"/>
      <c r="C129" s="10" t="s">
        <v>435</v>
      </c>
      <c r="D129" s="8" t="s">
        <v>52</v>
      </c>
      <c r="E129" s="8" t="s">
        <v>60</v>
      </c>
      <c r="F129" s="11" t="s">
        <v>83</v>
      </c>
      <c r="G129" s="12" t="s">
        <v>33</v>
      </c>
      <c r="H129" s="15" t="s">
        <v>29</v>
      </c>
      <c r="I129" s="14" t="s">
        <v>92</v>
      </c>
      <c r="J129" s="14" t="s">
        <v>85</v>
      </c>
      <c r="K129" s="8" t="s">
        <v>86</v>
      </c>
      <c r="L129" s="8" t="s">
        <v>158</v>
      </c>
      <c r="M129" s="8"/>
    </row>
    <row r="130" spans="1:13" ht="26.4" x14ac:dyDescent="0.3">
      <c r="A130" s="8" t="s">
        <v>436</v>
      </c>
      <c r="B130" s="8"/>
      <c r="C130" s="10" t="s">
        <v>437</v>
      </c>
      <c r="D130" s="8" t="s">
        <v>52</v>
      </c>
      <c r="E130" s="8" t="s">
        <v>60</v>
      </c>
      <c r="F130" s="11" t="s">
        <v>83</v>
      </c>
      <c r="G130" s="12" t="s">
        <v>33</v>
      </c>
      <c r="H130" s="13" t="s">
        <v>27</v>
      </c>
      <c r="I130" s="14" t="s">
        <v>92</v>
      </c>
      <c r="J130" s="14" t="s">
        <v>85</v>
      </c>
      <c r="K130" s="8" t="s">
        <v>86</v>
      </c>
      <c r="L130" s="8" t="s">
        <v>201</v>
      </c>
      <c r="M130" s="8"/>
    </row>
    <row r="131" spans="1:13" x14ac:dyDescent="0.3">
      <c r="A131" s="8" t="s">
        <v>438</v>
      </c>
      <c r="B131" s="8"/>
      <c r="C131" s="10" t="s">
        <v>439</v>
      </c>
      <c r="D131" s="8" t="s">
        <v>52</v>
      </c>
      <c r="E131" s="8" t="s">
        <v>60</v>
      </c>
      <c r="F131" s="11" t="s">
        <v>83</v>
      </c>
      <c r="G131" s="12" t="s">
        <v>33</v>
      </c>
      <c r="H131" s="13" t="s">
        <v>27</v>
      </c>
      <c r="I131" s="14" t="s">
        <v>92</v>
      </c>
      <c r="J131" s="14" t="s">
        <v>85</v>
      </c>
      <c r="K131" s="8" t="s">
        <v>86</v>
      </c>
      <c r="L131" s="8" t="s">
        <v>158</v>
      </c>
      <c r="M131" s="8"/>
    </row>
    <row r="132" spans="1:13" ht="26.4" x14ac:dyDescent="0.3">
      <c r="A132" s="8" t="s">
        <v>440</v>
      </c>
      <c r="B132" s="8"/>
      <c r="C132" s="10" t="s">
        <v>441</v>
      </c>
      <c r="D132" s="8" t="s">
        <v>52</v>
      </c>
      <c r="E132" s="8" t="s">
        <v>60</v>
      </c>
      <c r="F132" s="11" t="s">
        <v>83</v>
      </c>
      <c r="G132" s="12" t="s">
        <v>33</v>
      </c>
      <c r="H132" s="16" t="s">
        <v>28</v>
      </c>
      <c r="I132" s="14" t="s">
        <v>84</v>
      </c>
      <c r="J132" s="14" t="s">
        <v>85</v>
      </c>
      <c r="K132" s="8" t="s">
        <v>86</v>
      </c>
      <c r="L132" s="8" t="s">
        <v>442</v>
      </c>
      <c r="M132" s="8"/>
    </row>
    <row r="133" spans="1:13" ht="26.4" x14ac:dyDescent="0.3">
      <c r="A133" s="8" t="s">
        <v>451</v>
      </c>
      <c r="B133" s="8"/>
      <c r="C133" s="10" t="s">
        <v>452</v>
      </c>
      <c r="D133" s="8" t="s">
        <v>52</v>
      </c>
      <c r="E133" s="8" t="s">
        <v>60</v>
      </c>
      <c r="F133" s="11" t="s">
        <v>83</v>
      </c>
      <c r="G133" s="17" t="s">
        <v>34</v>
      </c>
      <c r="H133" s="13" t="s">
        <v>27</v>
      </c>
      <c r="I133" s="14" t="s">
        <v>84</v>
      </c>
      <c r="J133" s="14" t="s">
        <v>85</v>
      </c>
      <c r="K133" s="8" t="s">
        <v>86</v>
      </c>
      <c r="L133" s="8" t="s">
        <v>86</v>
      </c>
      <c r="M133" s="8"/>
    </row>
    <row r="134" spans="1:13" ht="26.4" x14ac:dyDescent="0.3">
      <c r="A134" s="8" t="s">
        <v>455</v>
      </c>
      <c r="B134" s="8"/>
      <c r="C134" s="10" t="s">
        <v>456</v>
      </c>
      <c r="D134" s="8" t="s">
        <v>52</v>
      </c>
      <c r="E134" s="8" t="s">
        <v>61</v>
      </c>
      <c r="F134" s="11" t="s">
        <v>83</v>
      </c>
      <c r="G134" s="12" t="s">
        <v>33</v>
      </c>
      <c r="H134" s="13" t="s">
        <v>27</v>
      </c>
      <c r="I134" s="14" t="s">
        <v>84</v>
      </c>
      <c r="J134" s="14" t="s">
        <v>85</v>
      </c>
      <c r="K134" s="8" t="s">
        <v>86</v>
      </c>
      <c r="L134" s="8" t="s">
        <v>153</v>
      </c>
      <c r="M134" s="8"/>
    </row>
    <row r="135" spans="1:13" ht="26.4" x14ac:dyDescent="0.3">
      <c r="A135" s="8" t="s">
        <v>460</v>
      </c>
      <c r="B135" s="8"/>
      <c r="C135" s="10" t="s">
        <v>461</v>
      </c>
      <c r="D135" s="8" t="s">
        <v>63</v>
      </c>
      <c r="E135" s="8" t="s">
        <v>64</v>
      </c>
      <c r="F135" s="11" t="s">
        <v>83</v>
      </c>
      <c r="G135" s="18" t="s">
        <v>32</v>
      </c>
      <c r="H135" s="13" t="s">
        <v>27</v>
      </c>
      <c r="I135" s="14" t="s">
        <v>84</v>
      </c>
      <c r="J135" s="14" t="s">
        <v>85</v>
      </c>
      <c r="K135" s="8" t="s">
        <v>86</v>
      </c>
      <c r="L135" s="8" t="s">
        <v>86</v>
      </c>
      <c r="M135" s="8"/>
    </row>
    <row r="136" spans="1:13" ht="26.4" x14ac:dyDescent="0.3">
      <c r="A136" s="8" t="s">
        <v>462</v>
      </c>
      <c r="B136" s="8"/>
      <c r="C136" s="10" t="s">
        <v>463</v>
      </c>
      <c r="D136" s="8" t="s">
        <v>63</v>
      </c>
      <c r="E136" s="8" t="s">
        <v>64</v>
      </c>
      <c r="F136" s="11" t="s">
        <v>83</v>
      </c>
      <c r="G136" s="12" t="s">
        <v>33</v>
      </c>
      <c r="H136" s="13" t="s">
        <v>27</v>
      </c>
      <c r="I136" s="14" t="s">
        <v>84</v>
      </c>
      <c r="J136" s="14" t="s">
        <v>85</v>
      </c>
      <c r="K136" s="8" t="s">
        <v>86</v>
      </c>
      <c r="L136" s="8" t="s">
        <v>86</v>
      </c>
      <c r="M136" s="8"/>
    </row>
    <row r="137" spans="1:13" ht="26.4" x14ac:dyDescent="0.3">
      <c r="A137" s="8" t="s">
        <v>482</v>
      </c>
      <c r="B137" s="8"/>
      <c r="C137" s="10" t="s">
        <v>483</v>
      </c>
      <c r="D137" s="8" t="s">
        <v>63</v>
      </c>
      <c r="E137" s="8" t="s">
        <v>64</v>
      </c>
      <c r="F137" s="11" t="s">
        <v>83</v>
      </c>
      <c r="G137" s="15" t="s">
        <v>35</v>
      </c>
      <c r="H137" s="13" t="s">
        <v>27</v>
      </c>
      <c r="I137" s="14" t="s">
        <v>84</v>
      </c>
      <c r="J137" s="14" t="s">
        <v>85</v>
      </c>
      <c r="K137" s="8" t="s">
        <v>86</v>
      </c>
      <c r="L137" s="8" t="s">
        <v>86</v>
      </c>
      <c r="M137" s="8"/>
    </row>
    <row r="138" spans="1:13" ht="26.4" x14ac:dyDescent="0.3">
      <c r="A138" s="8" t="s">
        <v>538</v>
      </c>
      <c r="B138" s="8"/>
      <c r="C138" s="10" t="s">
        <v>539</v>
      </c>
      <c r="D138" s="8" t="s">
        <v>63</v>
      </c>
      <c r="E138" s="8" t="s">
        <v>66</v>
      </c>
      <c r="F138" s="11" t="s">
        <v>83</v>
      </c>
      <c r="G138" s="17" t="s">
        <v>34</v>
      </c>
      <c r="H138" s="13" t="s">
        <v>27</v>
      </c>
      <c r="I138" s="14" t="s">
        <v>92</v>
      </c>
      <c r="J138" s="14" t="s">
        <v>85</v>
      </c>
      <c r="K138" s="8" t="s">
        <v>86</v>
      </c>
      <c r="L138" s="8" t="s">
        <v>87</v>
      </c>
      <c r="M138" s="8"/>
    </row>
    <row r="139" spans="1:13" ht="26.4" x14ac:dyDescent="0.3">
      <c r="A139" s="8" t="s">
        <v>640</v>
      </c>
      <c r="B139" s="8"/>
      <c r="C139" s="10" t="s">
        <v>641</v>
      </c>
      <c r="D139" s="8" t="s">
        <v>17</v>
      </c>
      <c r="E139" s="8" t="s">
        <v>68</v>
      </c>
      <c r="F139" s="11" t="s">
        <v>83</v>
      </c>
      <c r="G139" s="12" t="s">
        <v>33</v>
      </c>
      <c r="H139" s="13" t="s">
        <v>27</v>
      </c>
      <c r="I139" s="14" t="s">
        <v>84</v>
      </c>
      <c r="J139" s="14" t="s">
        <v>85</v>
      </c>
      <c r="K139" s="8" t="s">
        <v>86</v>
      </c>
      <c r="L139" s="8" t="s">
        <v>86</v>
      </c>
      <c r="M139" s="8"/>
    </row>
    <row r="140" spans="1:13" ht="26.4" x14ac:dyDescent="0.3">
      <c r="A140" s="8" t="s">
        <v>93</v>
      </c>
      <c r="B140" s="8"/>
      <c r="C140" s="10" t="s">
        <v>94</v>
      </c>
      <c r="D140" s="8" t="s">
        <v>38</v>
      </c>
      <c r="E140" s="8" t="s">
        <v>39</v>
      </c>
      <c r="F140" s="11" t="s">
        <v>83</v>
      </c>
      <c r="G140" s="12" t="s">
        <v>33</v>
      </c>
      <c r="H140" s="13" t="s">
        <v>27</v>
      </c>
      <c r="I140" s="14" t="s">
        <v>92</v>
      </c>
      <c r="J140" s="14" t="s">
        <v>85</v>
      </c>
      <c r="K140" s="8" t="s">
        <v>95</v>
      </c>
      <c r="L140" s="8" t="s">
        <v>87</v>
      </c>
      <c r="M140" s="8"/>
    </row>
    <row r="141" spans="1:13" x14ac:dyDescent="0.3">
      <c r="A141" s="8" t="s">
        <v>127</v>
      </c>
      <c r="B141" s="8"/>
      <c r="C141" s="10" t="s">
        <v>128</v>
      </c>
      <c r="D141" s="8" t="s">
        <v>38</v>
      </c>
      <c r="E141" s="8" t="s">
        <v>13</v>
      </c>
      <c r="F141" s="11" t="s">
        <v>83</v>
      </c>
      <c r="G141" s="12" t="s">
        <v>33</v>
      </c>
      <c r="H141" s="16" t="s">
        <v>28</v>
      </c>
      <c r="I141" s="14" t="s">
        <v>92</v>
      </c>
      <c r="J141" s="14" t="s">
        <v>85</v>
      </c>
      <c r="K141" s="8" t="s">
        <v>95</v>
      </c>
      <c r="L141" s="8" t="s">
        <v>129</v>
      </c>
      <c r="M141" s="8"/>
    </row>
    <row r="142" spans="1:13" ht="26.4" x14ac:dyDescent="0.3">
      <c r="A142" s="8" t="s">
        <v>130</v>
      </c>
      <c r="B142" s="8"/>
      <c r="C142" s="10" t="s">
        <v>131</v>
      </c>
      <c r="D142" s="8" t="s">
        <v>38</v>
      </c>
      <c r="E142" s="8" t="s">
        <v>13</v>
      </c>
      <c r="F142" s="11" t="s">
        <v>83</v>
      </c>
      <c r="G142" s="12" t="s">
        <v>33</v>
      </c>
      <c r="H142" s="13" t="s">
        <v>27</v>
      </c>
      <c r="I142" s="14" t="s">
        <v>84</v>
      </c>
      <c r="J142" s="14" t="s">
        <v>85</v>
      </c>
      <c r="K142" s="8" t="s">
        <v>95</v>
      </c>
      <c r="L142" s="8" t="s">
        <v>87</v>
      </c>
      <c r="M142" s="8"/>
    </row>
    <row r="143" spans="1:13" ht="26.4" x14ac:dyDescent="0.3">
      <c r="A143" s="8" t="s">
        <v>132</v>
      </c>
      <c r="B143" s="8"/>
      <c r="C143" s="10" t="s">
        <v>133</v>
      </c>
      <c r="D143" s="8" t="s">
        <v>38</v>
      </c>
      <c r="E143" s="8" t="s">
        <v>13</v>
      </c>
      <c r="F143" s="11" t="s">
        <v>83</v>
      </c>
      <c r="G143" s="12" t="s">
        <v>33</v>
      </c>
      <c r="H143" s="13" t="s">
        <v>27</v>
      </c>
      <c r="I143" s="14" t="s">
        <v>84</v>
      </c>
      <c r="J143" s="14" t="s">
        <v>85</v>
      </c>
      <c r="K143" s="8" t="s">
        <v>95</v>
      </c>
      <c r="L143" s="8" t="s">
        <v>87</v>
      </c>
      <c r="M143" s="8"/>
    </row>
    <row r="144" spans="1:13" ht="26.4" x14ac:dyDescent="0.3">
      <c r="A144" s="8" t="s">
        <v>443</v>
      </c>
      <c r="B144" s="8"/>
      <c r="C144" s="10" t="s">
        <v>444</v>
      </c>
      <c r="D144" s="8" t="s">
        <v>52</v>
      </c>
      <c r="E144" s="8" t="s">
        <v>60</v>
      </c>
      <c r="F144" s="11" t="s">
        <v>83</v>
      </c>
      <c r="G144" s="12" t="s">
        <v>33</v>
      </c>
      <c r="H144" s="16" t="s">
        <v>28</v>
      </c>
      <c r="I144" s="14" t="s">
        <v>92</v>
      </c>
      <c r="J144" s="14" t="s">
        <v>85</v>
      </c>
      <c r="K144" s="8" t="s">
        <v>95</v>
      </c>
      <c r="L144" s="8" t="s">
        <v>201</v>
      </c>
      <c r="M144" s="8"/>
    </row>
    <row r="145" spans="1:13" ht="26.4" x14ac:dyDescent="0.3">
      <c r="A145" s="8" t="s">
        <v>105</v>
      </c>
      <c r="B145" s="8"/>
      <c r="C145" s="10" t="s">
        <v>106</v>
      </c>
      <c r="D145" s="8" t="s">
        <v>38</v>
      </c>
      <c r="E145" s="8" t="s">
        <v>40</v>
      </c>
      <c r="F145" s="11" t="s">
        <v>83</v>
      </c>
      <c r="G145" s="12" t="s">
        <v>33</v>
      </c>
      <c r="H145" s="13" t="s">
        <v>27</v>
      </c>
      <c r="I145" s="14" t="s">
        <v>92</v>
      </c>
      <c r="J145" s="14" t="s">
        <v>85</v>
      </c>
      <c r="K145" s="8" t="s">
        <v>107</v>
      </c>
      <c r="L145" s="8" t="s">
        <v>87</v>
      </c>
      <c r="M145" s="8"/>
    </row>
    <row r="146" spans="1:13" ht="26.4" x14ac:dyDescent="0.3">
      <c r="A146" s="8" t="s">
        <v>134</v>
      </c>
      <c r="B146" s="8"/>
      <c r="C146" s="10" t="s">
        <v>135</v>
      </c>
      <c r="D146" s="8" t="s">
        <v>38</v>
      </c>
      <c r="E146" s="8" t="s">
        <v>13</v>
      </c>
      <c r="F146" s="11" t="s">
        <v>83</v>
      </c>
      <c r="G146" s="12" t="s">
        <v>33</v>
      </c>
      <c r="H146" s="13" t="s">
        <v>27</v>
      </c>
      <c r="I146" s="14" t="s">
        <v>84</v>
      </c>
      <c r="J146" s="14" t="s">
        <v>85</v>
      </c>
      <c r="K146" s="8" t="s">
        <v>107</v>
      </c>
      <c r="L146" s="8" t="s">
        <v>107</v>
      </c>
      <c r="M146" s="8"/>
    </row>
    <row r="147" spans="1:13" ht="26.4" x14ac:dyDescent="0.3">
      <c r="A147" s="8" t="s">
        <v>136</v>
      </c>
      <c r="B147" s="8"/>
      <c r="C147" s="10" t="s">
        <v>137</v>
      </c>
      <c r="D147" s="8" t="s">
        <v>38</v>
      </c>
      <c r="E147" s="8" t="s">
        <v>13</v>
      </c>
      <c r="F147" s="11" t="s">
        <v>83</v>
      </c>
      <c r="G147" s="12" t="s">
        <v>33</v>
      </c>
      <c r="H147" s="12" t="s">
        <v>31</v>
      </c>
      <c r="I147" s="14" t="s">
        <v>92</v>
      </c>
      <c r="J147" s="14" t="s">
        <v>85</v>
      </c>
      <c r="K147" s="8" t="s">
        <v>107</v>
      </c>
      <c r="L147" s="8" t="s">
        <v>138</v>
      </c>
      <c r="M147" s="8"/>
    </row>
    <row r="148" spans="1:13" ht="26.4" x14ac:dyDescent="0.3">
      <c r="A148" s="8" t="s">
        <v>96</v>
      </c>
      <c r="B148" s="8"/>
      <c r="C148" s="10" t="s">
        <v>97</v>
      </c>
      <c r="D148" s="8" t="s">
        <v>38</v>
      </c>
      <c r="E148" s="8" t="s">
        <v>39</v>
      </c>
      <c r="F148" s="11" t="s">
        <v>83</v>
      </c>
      <c r="G148" s="12" t="s">
        <v>33</v>
      </c>
      <c r="H148" s="13" t="s">
        <v>27</v>
      </c>
      <c r="I148" s="14" t="s">
        <v>84</v>
      </c>
      <c r="J148" s="14" t="s">
        <v>84</v>
      </c>
      <c r="K148" s="8" t="s">
        <v>98</v>
      </c>
      <c r="L148" s="8" t="s">
        <v>87</v>
      </c>
      <c r="M148" s="8"/>
    </row>
    <row r="149" spans="1:13" ht="26.4" x14ac:dyDescent="0.3">
      <c r="A149" s="8" t="s">
        <v>108</v>
      </c>
      <c r="B149" s="8"/>
      <c r="C149" s="10" t="s">
        <v>109</v>
      </c>
      <c r="D149" s="8" t="s">
        <v>38</v>
      </c>
      <c r="E149" s="8" t="s">
        <v>40</v>
      </c>
      <c r="F149" s="11" t="s">
        <v>83</v>
      </c>
      <c r="G149" s="12" t="s">
        <v>33</v>
      </c>
      <c r="H149" s="13" t="s">
        <v>27</v>
      </c>
      <c r="I149" s="14" t="s">
        <v>84</v>
      </c>
      <c r="J149" s="14" t="s">
        <v>84</v>
      </c>
      <c r="K149" s="8" t="s">
        <v>98</v>
      </c>
      <c r="L149" s="8" t="s">
        <v>87</v>
      </c>
      <c r="M149" s="8"/>
    </row>
    <row r="150" spans="1:13" ht="26.4" x14ac:dyDescent="0.3">
      <c r="A150" s="8" t="s">
        <v>139</v>
      </c>
      <c r="B150" s="8"/>
      <c r="C150" s="10" t="s">
        <v>140</v>
      </c>
      <c r="D150" s="8" t="s">
        <v>38</v>
      </c>
      <c r="E150" s="8" t="s">
        <v>13</v>
      </c>
      <c r="F150" s="11" t="s">
        <v>83</v>
      </c>
      <c r="G150" s="12" t="s">
        <v>33</v>
      </c>
      <c r="H150" s="13" t="s">
        <v>27</v>
      </c>
      <c r="I150" s="14" t="s">
        <v>92</v>
      </c>
      <c r="J150" s="14" t="s">
        <v>84</v>
      </c>
      <c r="K150" s="8" t="s">
        <v>98</v>
      </c>
      <c r="L150" s="8" t="s">
        <v>87</v>
      </c>
      <c r="M150" s="8"/>
    </row>
    <row r="151" spans="1:13" ht="26.4" x14ac:dyDescent="0.3">
      <c r="A151" s="8" t="s">
        <v>141</v>
      </c>
      <c r="B151" s="8"/>
      <c r="C151" s="10" t="s">
        <v>142</v>
      </c>
      <c r="D151" s="8" t="s">
        <v>38</v>
      </c>
      <c r="E151" s="8" t="s">
        <v>13</v>
      </c>
      <c r="F151" s="11" t="s">
        <v>83</v>
      </c>
      <c r="G151" s="12" t="s">
        <v>33</v>
      </c>
      <c r="H151" s="13" t="s">
        <v>27</v>
      </c>
      <c r="I151" s="14" t="s">
        <v>84</v>
      </c>
      <c r="J151" s="14" t="s">
        <v>84</v>
      </c>
      <c r="K151" s="8" t="s">
        <v>98</v>
      </c>
      <c r="L151" s="8" t="s">
        <v>87</v>
      </c>
      <c r="M151" s="8"/>
    </row>
    <row r="152" spans="1:13" ht="26.4" x14ac:dyDescent="0.3">
      <c r="A152" s="8" t="s">
        <v>184</v>
      </c>
      <c r="B152" s="8"/>
      <c r="C152" s="10" t="s">
        <v>185</v>
      </c>
      <c r="D152" s="8" t="s">
        <v>38</v>
      </c>
      <c r="E152" s="8" t="s">
        <v>43</v>
      </c>
      <c r="F152" s="11" t="s">
        <v>83</v>
      </c>
      <c r="G152" s="12" t="s">
        <v>33</v>
      </c>
      <c r="H152" s="13" t="s">
        <v>27</v>
      </c>
      <c r="I152" s="14" t="s">
        <v>92</v>
      </c>
      <c r="J152" s="14" t="s">
        <v>84</v>
      </c>
      <c r="K152" s="8" t="s">
        <v>98</v>
      </c>
      <c r="L152" s="8" t="s">
        <v>87</v>
      </c>
      <c r="M152" s="8"/>
    </row>
    <row r="153" spans="1:13" ht="26.4" x14ac:dyDescent="0.3">
      <c r="A153" s="8" t="s">
        <v>388</v>
      </c>
      <c r="B153" s="8"/>
      <c r="C153" s="10" t="s">
        <v>389</v>
      </c>
      <c r="D153" s="8" t="s">
        <v>52</v>
      </c>
      <c r="E153" s="8" t="s">
        <v>57</v>
      </c>
      <c r="F153" s="11" t="s">
        <v>83</v>
      </c>
      <c r="G153" s="18" t="s">
        <v>32</v>
      </c>
      <c r="H153" s="12" t="s">
        <v>31</v>
      </c>
      <c r="I153" s="14" t="s">
        <v>84</v>
      </c>
      <c r="J153" s="14" t="s">
        <v>84</v>
      </c>
      <c r="K153" s="8" t="s">
        <v>98</v>
      </c>
      <c r="L153" s="8" t="s">
        <v>129</v>
      </c>
      <c r="M153" s="8"/>
    </row>
    <row r="154" spans="1:13" ht="26.4" x14ac:dyDescent="0.3">
      <c r="A154" s="8" t="s">
        <v>397</v>
      </c>
      <c r="B154" s="8"/>
      <c r="C154" s="10" t="s">
        <v>398</v>
      </c>
      <c r="D154" s="8" t="s">
        <v>52</v>
      </c>
      <c r="E154" s="8" t="s">
        <v>58</v>
      </c>
      <c r="F154" s="11" t="s">
        <v>83</v>
      </c>
      <c r="G154" s="18" t="s">
        <v>32</v>
      </c>
      <c r="H154" s="13" t="s">
        <v>27</v>
      </c>
      <c r="I154" s="14" t="s">
        <v>92</v>
      </c>
      <c r="J154" s="14" t="s">
        <v>84</v>
      </c>
      <c r="K154" s="8" t="s">
        <v>98</v>
      </c>
      <c r="L154" s="8" t="s">
        <v>87</v>
      </c>
      <c r="M154" s="8"/>
    </row>
    <row r="155" spans="1:13" ht="26.4" x14ac:dyDescent="0.3">
      <c r="A155" s="8" t="s">
        <v>399</v>
      </c>
      <c r="B155" s="8"/>
      <c r="C155" s="10" t="s">
        <v>400</v>
      </c>
      <c r="D155" s="8" t="s">
        <v>52</v>
      </c>
      <c r="E155" s="8" t="s">
        <v>58</v>
      </c>
      <c r="F155" s="11" t="s">
        <v>83</v>
      </c>
      <c r="G155" s="18" t="s">
        <v>32</v>
      </c>
      <c r="H155" s="13" t="s">
        <v>27</v>
      </c>
      <c r="I155" s="14" t="s">
        <v>92</v>
      </c>
      <c r="J155" s="14" t="s">
        <v>84</v>
      </c>
      <c r="K155" s="8" t="s">
        <v>98</v>
      </c>
      <c r="L155" s="8" t="s">
        <v>401</v>
      </c>
      <c r="M155" s="8"/>
    </row>
    <row r="156" spans="1:13" ht="26.4" x14ac:dyDescent="0.3">
      <c r="A156" s="8" t="s">
        <v>420</v>
      </c>
      <c r="B156" s="8"/>
      <c r="C156" s="10" t="s">
        <v>421</v>
      </c>
      <c r="D156" s="8" t="s">
        <v>52</v>
      </c>
      <c r="E156" s="8" t="s">
        <v>60</v>
      </c>
      <c r="F156" s="11" t="s">
        <v>83</v>
      </c>
      <c r="G156" s="18" t="s">
        <v>32</v>
      </c>
      <c r="H156" s="13" t="s">
        <v>27</v>
      </c>
      <c r="I156" s="14" t="s">
        <v>92</v>
      </c>
      <c r="J156" s="14" t="s">
        <v>84</v>
      </c>
      <c r="K156" s="8" t="s">
        <v>98</v>
      </c>
      <c r="L156" s="8" t="s">
        <v>422</v>
      </c>
      <c r="M156" s="8"/>
    </row>
    <row r="157" spans="1:13" ht="26.4" x14ac:dyDescent="0.3">
      <c r="A157" s="8" t="s">
        <v>445</v>
      </c>
      <c r="B157" s="8"/>
      <c r="C157" s="10" t="s">
        <v>446</v>
      </c>
      <c r="D157" s="8" t="s">
        <v>52</v>
      </c>
      <c r="E157" s="8" t="s">
        <v>60</v>
      </c>
      <c r="F157" s="11" t="s">
        <v>83</v>
      </c>
      <c r="G157" s="12" t="s">
        <v>33</v>
      </c>
      <c r="H157" s="13" t="s">
        <v>27</v>
      </c>
      <c r="I157" s="14" t="s">
        <v>84</v>
      </c>
      <c r="J157" s="14" t="s">
        <v>84</v>
      </c>
      <c r="K157" s="8" t="s">
        <v>98</v>
      </c>
      <c r="L157" s="8" t="s">
        <v>87</v>
      </c>
      <c r="M157" s="8"/>
    </row>
    <row r="158" spans="1:13" ht="26.4" x14ac:dyDescent="0.3">
      <c r="A158" s="8" t="s">
        <v>492</v>
      </c>
      <c r="B158" s="8"/>
      <c r="C158" s="10" t="s">
        <v>493</v>
      </c>
      <c r="D158" s="8" t="s">
        <v>63</v>
      </c>
      <c r="E158" s="8" t="s">
        <v>65</v>
      </c>
      <c r="F158" s="11" t="s">
        <v>83</v>
      </c>
      <c r="G158" s="18" t="s">
        <v>32</v>
      </c>
      <c r="H158" s="13" t="s">
        <v>27</v>
      </c>
      <c r="I158" s="14" t="s">
        <v>84</v>
      </c>
      <c r="J158" s="14" t="s">
        <v>84</v>
      </c>
      <c r="K158" s="8" t="s">
        <v>98</v>
      </c>
      <c r="L158" s="8" t="s">
        <v>87</v>
      </c>
      <c r="M158" s="8"/>
    </row>
    <row r="159" spans="1:13" ht="26.4" x14ac:dyDescent="0.3">
      <c r="A159" s="8" t="s">
        <v>533</v>
      </c>
      <c r="B159" s="8"/>
      <c r="C159" s="10" t="s">
        <v>534</v>
      </c>
      <c r="D159" s="8" t="s">
        <v>63</v>
      </c>
      <c r="E159" s="8" t="s">
        <v>66</v>
      </c>
      <c r="F159" s="11" t="s">
        <v>83</v>
      </c>
      <c r="G159" s="12" t="s">
        <v>33</v>
      </c>
      <c r="H159" s="13" t="s">
        <v>27</v>
      </c>
      <c r="I159" s="14" t="s">
        <v>92</v>
      </c>
      <c r="J159" s="14" t="s">
        <v>84</v>
      </c>
      <c r="K159" s="8" t="s">
        <v>98</v>
      </c>
      <c r="L159" s="8" t="s">
        <v>87</v>
      </c>
      <c r="M159" s="8"/>
    </row>
    <row r="160" spans="1:13" x14ac:dyDescent="0.3">
      <c r="A160" s="8" t="s">
        <v>642</v>
      </c>
      <c r="B160" s="8"/>
      <c r="C160" s="10" t="s">
        <v>643</v>
      </c>
      <c r="D160" s="8" t="s">
        <v>17</v>
      </c>
      <c r="E160" s="8" t="s">
        <v>68</v>
      </c>
      <c r="F160" s="11" t="s">
        <v>83</v>
      </c>
      <c r="G160" s="12" t="s">
        <v>33</v>
      </c>
      <c r="H160" s="13" t="s">
        <v>27</v>
      </c>
      <c r="I160" s="14" t="s">
        <v>92</v>
      </c>
      <c r="J160" s="14" t="s">
        <v>85</v>
      </c>
      <c r="K160" s="8" t="s">
        <v>644</v>
      </c>
      <c r="L160" s="8" t="s">
        <v>87</v>
      </c>
      <c r="M160" s="8"/>
    </row>
    <row r="161" spans="1:13" x14ac:dyDescent="0.3">
      <c r="A161" s="8" t="s">
        <v>464</v>
      </c>
      <c r="B161" s="8"/>
      <c r="C161" s="10" t="s">
        <v>465</v>
      </c>
      <c r="D161" s="8" t="s">
        <v>63</v>
      </c>
      <c r="E161" s="8" t="s">
        <v>64</v>
      </c>
      <c r="F161" s="11" t="s">
        <v>83</v>
      </c>
      <c r="G161" s="12" t="s">
        <v>33</v>
      </c>
      <c r="H161" s="13" t="s">
        <v>27</v>
      </c>
      <c r="I161" s="14" t="s">
        <v>92</v>
      </c>
      <c r="J161" s="14" t="s">
        <v>85</v>
      </c>
      <c r="K161" s="8" t="s">
        <v>466</v>
      </c>
      <c r="L161" s="8" t="s">
        <v>87</v>
      </c>
      <c r="M161" s="8"/>
    </row>
    <row r="162" spans="1:13" x14ac:dyDescent="0.3">
      <c r="A162" s="8" t="s">
        <v>509</v>
      </c>
      <c r="B162" s="8"/>
      <c r="C162" s="10" t="s">
        <v>510</v>
      </c>
      <c r="D162" s="8" t="s">
        <v>63</v>
      </c>
      <c r="E162" s="8" t="s">
        <v>65</v>
      </c>
      <c r="F162" s="15" t="s">
        <v>37</v>
      </c>
      <c r="G162" s="12" t="s">
        <v>33</v>
      </c>
      <c r="H162" s="19" t="s">
        <v>257</v>
      </c>
      <c r="I162" s="14" t="s">
        <v>92</v>
      </c>
      <c r="J162" s="14" t="s">
        <v>85</v>
      </c>
      <c r="K162" s="8" t="s">
        <v>466</v>
      </c>
      <c r="L162" s="8" t="s">
        <v>404</v>
      </c>
      <c r="M162" s="8"/>
    </row>
    <row r="163" spans="1:13" ht="26.4" x14ac:dyDescent="0.3">
      <c r="A163" s="8" t="s">
        <v>240</v>
      </c>
      <c r="B163" s="8"/>
      <c r="C163" s="10" t="s">
        <v>241</v>
      </c>
      <c r="D163" s="8" t="s">
        <v>44</v>
      </c>
      <c r="E163" s="8" t="s">
        <v>49</v>
      </c>
      <c r="F163" s="11" t="s">
        <v>83</v>
      </c>
      <c r="G163" s="12" t="s">
        <v>33</v>
      </c>
      <c r="H163" s="13" t="s">
        <v>27</v>
      </c>
      <c r="I163" s="14" t="s">
        <v>84</v>
      </c>
      <c r="J163" s="14" t="s">
        <v>85</v>
      </c>
      <c r="K163" s="8" t="s">
        <v>242</v>
      </c>
      <c r="L163" s="8" t="s">
        <v>242</v>
      </c>
      <c r="M163" s="8"/>
    </row>
    <row r="164" spans="1:13" ht="26.4" x14ac:dyDescent="0.3">
      <c r="A164" s="8" t="s">
        <v>243</v>
      </c>
      <c r="B164" s="8"/>
      <c r="C164" s="10" t="s">
        <v>244</v>
      </c>
      <c r="D164" s="8" t="s">
        <v>44</v>
      </c>
      <c r="E164" s="8" t="s">
        <v>49</v>
      </c>
      <c r="F164" s="11" t="s">
        <v>83</v>
      </c>
      <c r="G164" s="12" t="s">
        <v>33</v>
      </c>
      <c r="H164" s="13" t="s">
        <v>27</v>
      </c>
      <c r="I164" s="14" t="s">
        <v>84</v>
      </c>
      <c r="J164" s="14" t="s">
        <v>85</v>
      </c>
      <c r="K164" s="8" t="s">
        <v>242</v>
      </c>
      <c r="L164" s="8" t="s">
        <v>242</v>
      </c>
      <c r="M164" s="8"/>
    </row>
    <row r="165" spans="1:13" x14ac:dyDescent="0.3">
      <c r="A165" s="8" t="s">
        <v>380</v>
      </c>
      <c r="B165" s="8"/>
      <c r="C165" s="10" t="s">
        <v>381</v>
      </c>
      <c r="D165" s="8" t="s">
        <v>52</v>
      </c>
      <c r="E165" s="8" t="s">
        <v>55</v>
      </c>
      <c r="F165" s="11" t="s">
        <v>83</v>
      </c>
      <c r="G165" s="17" t="s">
        <v>34</v>
      </c>
      <c r="H165" s="13" t="s">
        <v>27</v>
      </c>
      <c r="I165" s="14" t="s">
        <v>92</v>
      </c>
      <c r="J165" s="14" t="s">
        <v>382</v>
      </c>
      <c r="K165" s="8" t="s">
        <v>242</v>
      </c>
      <c r="L165" s="8" t="s">
        <v>242</v>
      </c>
      <c r="M165" s="8"/>
    </row>
    <row r="166" spans="1:13" ht="26.4" x14ac:dyDescent="0.3">
      <c r="A166" s="8" t="s">
        <v>343</v>
      </c>
      <c r="B166" s="8"/>
      <c r="C166" s="10" t="s">
        <v>344</v>
      </c>
      <c r="D166" s="8" t="s">
        <v>44</v>
      </c>
      <c r="E166" s="8" t="s">
        <v>50</v>
      </c>
      <c r="F166" s="11" t="s">
        <v>83</v>
      </c>
      <c r="G166" s="17" t="s">
        <v>34</v>
      </c>
      <c r="H166" s="13" t="s">
        <v>27</v>
      </c>
      <c r="I166" s="14" t="s">
        <v>84</v>
      </c>
      <c r="J166" s="14" t="s">
        <v>85</v>
      </c>
      <c r="K166" s="8" t="s">
        <v>345</v>
      </c>
      <c r="L166" s="8" t="s">
        <v>345</v>
      </c>
      <c r="M166" s="8"/>
    </row>
    <row r="167" spans="1:13" ht="26.4" x14ac:dyDescent="0.3">
      <c r="A167" s="8" t="s">
        <v>322</v>
      </c>
      <c r="B167" s="8"/>
      <c r="C167" s="10" t="s">
        <v>323</v>
      </c>
      <c r="D167" s="8" t="s">
        <v>44</v>
      </c>
      <c r="E167" s="8" t="s">
        <v>50</v>
      </c>
      <c r="F167" s="11" t="s">
        <v>83</v>
      </c>
      <c r="G167" s="12" t="s">
        <v>33</v>
      </c>
      <c r="H167" s="16" t="s">
        <v>28</v>
      </c>
      <c r="I167" s="14" t="s">
        <v>84</v>
      </c>
      <c r="J167" s="14" t="s">
        <v>85</v>
      </c>
      <c r="K167" s="8" t="s">
        <v>324</v>
      </c>
      <c r="L167" s="8" t="s">
        <v>325</v>
      </c>
      <c r="M167" s="8"/>
    </row>
    <row r="168" spans="1:13" ht="26.4" x14ac:dyDescent="0.3">
      <c r="A168" s="8" t="s">
        <v>346</v>
      </c>
      <c r="B168" s="8"/>
      <c r="C168" s="10" t="s">
        <v>347</v>
      </c>
      <c r="D168" s="8" t="s">
        <v>44</v>
      </c>
      <c r="E168" s="8" t="s">
        <v>50</v>
      </c>
      <c r="F168" s="11" t="s">
        <v>83</v>
      </c>
      <c r="G168" s="17" t="s">
        <v>34</v>
      </c>
      <c r="H168" s="13" t="s">
        <v>27</v>
      </c>
      <c r="I168" s="14" t="s">
        <v>84</v>
      </c>
      <c r="J168" s="14" t="s">
        <v>85</v>
      </c>
      <c r="K168" s="8" t="s">
        <v>324</v>
      </c>
      <c r="L168" s="8" t="s">
        <v>324</v>
      </c>
      <c r="M168" s="8"/>
    </row>
    <row r="169" spans="1:13" x14ac:dyDescent="0.3">
      <c r="A169" s="8" t="s">
        <v>407</v>
      </c>
      <c r="B169" s="8"/>
      <c r="C169" s="10" t="s">
        <v>408</v>
      </c>
      <c r="D169" s="8" t="s">
        <v>52</v>
      </c>
      <c r="E169" s="8" t="s">
        <v>58</v>
      </c>
      <c r="F169" s="11" t="s">
        <v>83</v>
      </c>
      <c r="G169" s="12" t="s">
        <v>33</v>
      </c>
      <c r="H169" s="13" t="s">
        <v>27</v>
      </c>
      <c r="I169" s="14" t="s">
        <v>92</v>
      </c>
      <c r="J169" s="14" t="s">
        <v>85</v>
      </c>
      <c r="K169" s="8" t="s">
        <v>324</v>
      </c>
      <c r="L169" s="8" t="s">
        <v>201</v>
      </c>
      <c r="M169" s="8"/>
    </row>
    <row r="170" spans="1:13" ht="26.4" x14ac:dyDescent="0.3">
      <c r="A170" s="8" t="s">
        <v>579</v>
      </c>
      <c r="B170" s="8"/>
      <c r="C170" s="10" t="s">
        <v>580</v>
      </c>
      <c r="D170" s="8" t="s">
        <v>63</v>
      </c>
      <c r="E170" s="8" t="s">
        <v>67</v>
      </c>
      <c r="F170" s="11" t="s">
        <v>83</v>
      </c>
      <c r="G170" s="17" t="s">
        <v>34</v>
      </c>
      <c r="H170" s="16" t="s">
        <v>28</v>
      </c>
      <c r="I170" s="14" t="s">
        <v>84</v>
      </c>
      <c r="J170" s="14" t="s">
        <v>84</v>
      </c>
      <c r="K170" s="8" t="s">
        <v>581</v>
      </c>
      <c r="L170" s="8" t="s">
        <v>129</v>
      </c>
      <c r="M170" s="8"/>
    </row>
    <row r="171" spans="1:13" x14ac:dyDescent="0.3">
      <c r="A171" s="8" t="s">
        <v>143</v>
      </c>
      <c r="B171" s="8"/>
      <c r="C171" s="10" t="s">
        <v>144</v>
      </c>
      <c r="D171" s="8" t="s">
        <v>38</v>
      </c>
      <c r="E171" s="8" t="s">
        <v>13</v>
      </c>
      <c r="F171" s="11" t="s">
        <v>83</v>
      </c>
      <c r="G171" s="12" t="s">
        <v>33</v>
      </c>
      <c r="H171" s="13" t="s">
        <v>27</v>
      </c>
      <c r="I171" s="14" t="s">
        <v>92</v>
      </c>
      <c r="J171" s="14" t="s">
        <v>85</v>
      </c>
      <c r="K171" s="8" t="s">
        <v>145</v>
      </c>
      <c r="L171" s="8" t="s">
        <v>146</v>
      </c>
      <c r="M171" s="8"/>
    </row>
    <row r="172" spans="1:13" ht="26.4" x14ac:dyDescent="0.3">
      <c r="A172" s="8" t="s">
        <v>154</v>
      </c>
      <c r="B172" s="8"/>
      <c r="C172" s="10" t="s">
        <v>155</v>
      </c>
      <c r="D172" s="8" t="s">
        <v>38</v>
      </c>
      <c r="E172" s="8" t="s">
        <v>41</v>
      </c>
      <c r="F172" s="11" t="s">
        <v>83</v>
      </c>
      <c r="G172" s="12" t="s">
        <v>33</v>
      </c>
      <c r="H172" s="13" t="s">
        <v>27</v>
      </c>
      <c r="I172" s="14" t="s">
        <v>84</v>
      </c>
      <c r="J172" s="14" t="s">
        <v>85</v>
      </c>
      <c r="K172" s="8" t="s">
        <v>145</v>
      </c>
      <c r="L172" s="8" t="s">
        <v>145</v>
      </c>
      <c r="M172" s="8"/>
    </row>
    <row r="173" spans="1:13" ht="26.4" x14ac:dyDescent="0.3">
      <c r="A173" s="8" t="s">
        <v>645</v>
      </c>
      <c r="B173" s="8"/>
      <c r="C173" s="10" t="s">
        <v>646</v>
      </c>
      <c r="D173" s="8" t="s">
        <v>17</v>
      </c>
      <c r="E173" s="8" t="s">
        <v>68</v>
      </c>
      <c r="F173" s="11" t="s">
        <v>83</v>
      </c>
      <c r="G173" s="12" t="s">
        <v>33</v>
      </c>
      <c r="H173" s="13" t="s">
        <v>27</v>
      </c>
      <c r="I173" s="14" t="s">
        <v>84</v>
      </c>
      <c r="J173" s="14" t="s">
        <v>85</v>
      </c>
      <c r="K173" s="8" t="s">
        <v>145</v>
      </c>
      <c r="L173" s="8" t="s">
        <v>145</v>
      </c>
      <c r="M173" s="8"/>
    </row>
    <row r="174" spans="1:13" ht="26.4" x14ac:dyDescent="0.3">
      <c r="A174" s="8" t="s">
        <v>475</v>
      </c>
      <c r="B174" s="8"/>
      <c r="C174" s="10" t="s">
        <v>476</v>
      </c>
      <c r="D174" s="8" t="s">
        <v>63</v>
      </c>
      <c r="E174" s="8" t="s">
        <v>64</v>
      </c>
      <c r="F174" s="11" t="s">
        <v>83</v>
      </c>
      <c r="G174" s="17" t="s">
        <v>34</v>
      </c>
      <c r="H174" s="13" t="s">
        <v>27</v>
      </c>
      <c r="I174" s="14" t="s">
        <v>84</v>
      </c>
      <c r="J174" s="14" t="s">
        <v>382</v>
      </c>
      <c r="K174" s="8" t="s">
        <v>477</v>
      </c>
      <c r="L174" s="8" t="s">
        <v>477</v>
      </c>
      <c r="M174" s="8"/>
    </row>
    <row r="175" spans="1:13" ht="26.4" x14ac:dyDescent="0.3">
      <c r="A175" s="8" t="s">
        <v>484</v>
      </c>
      <c r="B175" s="8"/>
      <c r="C175" s="10" t="s">
        <v>485</v>
      </c>
      <c r="D175" s="8" t="s">
        <v>63</v>
      </c>
      <c r="E175" s="8" t="s">
        <v>64</v>
      </c>
      <c r="F175" s="11" t="s">
        <v>83</v>
      </c>
      <c r="G175" s="15" t="s">
        <v>35</v>
      </c>
      <c r="H175" s="13" t="s">
        <v>27</v>
      </c>
      <c r="I175" s="14"/>
      <c r="J175" s="14" t="s">
        <v>382</v>
      </c>
      <c r="K175" s="8" t="s">
        <v>477</v>
      </c>
      <c r="L175" s="8" t="s">
        <v>477</v>
      </c>
      <c r="M175" s="8"/>
    </row>
    <row r="176" spans="1:13" ht="26.4" x14ac:dyDescent="0.3">
      <c r="A176" s="8" t="s">
        <v>522</v>
      </c>
      <c r="B176" s="8"/>
      <c r="C176" s="10" t="s">
        <v>523</v>
      </c>
      <c r="D176" s="8" t="s">
        <v>63</v>
      </c>
      <c r="E176" s="8" t="s">
        <v>65</v>
      </c>
      <c r="F176" s="11" t="s">
        <v>83</v>
      </c>
      <c r="G176" s="15" t="s">
        <v>35</v>
      </c>
      <c r="H176" s="13" t="s">
        <v>27</v>
      </c>
      <c r="I176" s="14" t="s">
        <v>84</v>
      </c>
      <c r="J176" s="14" t="s">
        <v>382</v>
      </c>
      <c r="K176" s="8" t="s">
        <v>477</v>
      </c>
      <c r="L176" s="8" t="s">
        <v>477</v>
      </c>
      <c r="M176" s="8"/>
    </row>
    <row r="177" spans="1:13" ht="26.4" x14ac:dyDescent="0.3">
      <c r="A177" s="8" t="s">
        <v>110</v>
      </c>
      <c r="B177" s="8"/>
      <c r="C177" s="10" t="s">
        <v>111</v>
      </c>
      <c r="D177" s="8" t="s">
        <v>38</v>
      </c>
      <c r="E177" s="8" t="s">
        <v>40</v>
      </c>
      <c r="F177" s="11" t="s">
        <v>83</v>
      </c>
      <c r="G177" s="12" t="s">
        <v>33</v>
      </c>
      <c r="H177" s="13" t="s">
        <v>27</v>
      </c>
      <c r="I177" s="14" t="s">
        <v>84</v>
      </c>
      <c r="J177" s="14" t="s">
        <v>85</v>
      </c>
      <c r="K177" s="8" t="s">
        <v>112</v>
      </c>
      <c r="L177" s="8" t="s">
        <v>112</v>
      </c>
      <c r="M177" s="8"/>
    </row>
    <row r="178" spans="1:13" ht="26.4" x14ac:dyDescent="0.3">
      <c r="A178" s="8" t="s">
        <v>235</v>
      </c>
      <c r="B178" s="8"/>
      <c r="C178" s="10" t="s">
        <v>236</v>
      </c>
      <c r="D178" s="8" t="s">
        <v>44</v>
      </c>
      <c r="E178" s="8" t="s">
        <v>48</v>
      </c>
      <c r="F178" s="11" t="s">
        <v>83</v>
      </c>
      <c r="G178" s="17" t="s">
        <v>34</v>
      </c>
      <c r="H178" s="13" t="s">
        <v>27</v>
      </c>
      <c r="I178" s="14" t="s">
        <v>84</v>
      </c>
      <c r="J178" s="14" t="s">
        <v>85</v>
      </c>
      <c r="K178" s="8" t="s">
        <v>112</v>
      </c>
      <c r="L178" s="8" t="s">
        <v>112</v>
      </c>
      <c r="M178" s="8"/>
    </row>
    <row r="179" spans="1:13" ht="26.4" x14ac:dyDescent="0.3">
      <c r="A179" s="8" t="s">
        <v>572</v>
      </c>
      <c r="B179" s="8"/>
      <c r="C179" s="10" t="s">
        <v>573</v>
      </c>
      <c r="D179" s="8" t="s">
        <v>63</v>
      </c>
      <c r="E179" s="8" t="s">
        <v>67</v>
      </c>
      <c r="F179" s="11" t="s">
        <v>83</v>
      </c>
      <c r="G179" s="12" t="s">
        <v>33</v>
      </c>
      <c r="H179" s="13" t="s">
        <v>27</v>
      </c>
      <c r="I179" s="14" t="s">
        <v>84</v>
      </c>
      <c r="J179" s="14" t="s">
        <v>85</v>
      </c>
      <c r="K179" s="8" t="s">
        <v>112</v>
      </c>
      <c r="L179" s="8" t="s">
        <v>112</v>
      </c>
      <c r="M179" s="8"/>
    </row>
    <row r="180" spans="1:13" ht="26.4" x14ac:dyDescent="0.3">
      <c r="A180" s="8" t="s">
        <v>540</v>
      </c>
      <c r="B180" s="8"/>
      <c r="C180" s="10" t="s">
        <v>541</v>
      </c>
      <c r="D180" s="8" t="s">
        <v>63</v>
      </c>
      <c r="E180" s="8" t="s">
        <v>66</v>
      </c>
      <c r="F180" s="11" t="s">
        <v>83</v>
      </c>
      <c r="G180" s="17" t="s">
        <v>34</v>
      </c>
      <c r="H180" s="13" t="s">
        <v>27</v>
      </c>
      <c r="I180" s="14" t="s">
        <v>84</v>
      </c>
      <c r="J180" s="14" t="s">
        <v>382</v>
      </c>
      <c r="K180" s="8" t="s">
        <v>542</v>
      </c>
      <c r="L180" s="8" t="s">
        <v>401</v>
      </c>
      <c r="M180" s="8"/>
    </row>
    <row r="181" spans="1:13" x14ac:dyDescent="0.3">
      <c r="A181" s="8" t="s">
        <v>353</v>
      </c>
      <c r="B181" s="8"/>
      <c r="C181" s="10" t="s">
        <v>354</v>
      </c>
      <c r="D181" s="8" t="s">
        <v>44</v>
      </c>
      <c r="E181" s="8" t="s">
        <v>50</v>
      </c>
      <c r="F181" s="11" t="s">
        <v>83</v>
      </c>
      <c r="G181" s="15" t="s">
        <v>35</v>
      </c>
      <c r="H181" s="13" t="s">
        <v>27</v>
      </c>
      <c r="I181" s="14" t="s">
        <v>92</v>
      </c>
      <c r="J181" s="14" t="s">
        <v>188</v>
      </c>
      <c r="K181" s="8" t="s">
        <v>87</v>
      </c>
      <c r="L181" s="8" t="s">
        <v>87</v>
      </c>
      <c r="M181" s="8"/>
    </row>
    <row r="182" spans="1:13" ht="26.4" x14ac:dyDescent="0.3">
      <c r="A182" s="8" t="s">
        <v>390</v>
      </c>
      <c r="B182" s="8"/>
      <c r="C182" s="10" t="s">
        <v>391</v>
      </c>
      <c r="D182" s="8" t="s">
        <v>52</v>
      </c>
      <c r="E182" s="8" t="s">
        <v>57</v>
      </c>
      <c r="F182" s="15" t="s">
        <v>37</v>
      </c>
      <c r="G182" s="18" t="s">
        <v>32</v>
      </c>
      <c r="H182" s="13" t="s">
        <v>27</v>
      </c>
      <c r="I182" s="14" t="s">
        <v>92</v>
      </c>
      <c r="J182" s="14" t="s">
        <v>84</v>
      </c>
      <c r="K182" s="8" t="s">
        <v>129</v>
      </c>
      <c r="L182" s="8" t="s">
        <v>129</v>
      </c>
      <c r="M182" s="8"/>
    </row>
    <row r="183" spans="1:13" ht="26.4" x14ac:dyDescent="0.3">
      <c r="A183" s="8" t="s">
        <v>535</v>
      </c>
      <c r="B183" s="8"/>
      <c r="C183" s="10" t="s">
        <v>536</v>
      </c>
      <c r="D183" s="8" t="s">
        <v>63</v>
      </c>
      <c r="E183" s="8" t="s">
        <v>66</v>
      </c>
      <c r="F183" s="11" t="s">
        <v>83</v>
      </c>
      <c r="G183" s="12" t="s">
        <v>33</v>
      </c>
      <c r="H183" s="13" t="s">
        <v>27</v>
      </c>
      <c r="I183" s="14" t="s">
        <v>84</v>
      </c>
      <c r="J183" s="14" t="s">
        <v>382</v>
      </c>
      <c r="K183" s="8" t="s">
        <v>537</v>
      </c>
      <c r="L183" s="8" t="s">
        <v>401</v>
      </c>
      <c r="M183" s="8"/>
    </row>
    <row r="184" spans="1:13" ht="26.4" x14ac:dyDescent="0.3">
      <c r="A184" s="8" t="s">
        <v>543</v>
      </c>
      <c r="B184" s="8"/>
      <c r="C184" s="10" t="s">
        <v>544</v>
      </c>
      <c r="D184" s="8" t="s">
        <v>63</v>
      </c>
      <c r="E184" s="8" t="s">
        <v>66</v>
      </c>
      <c r="F184" s="11" t="s">
        <v>83</v>
      </c>
      <c r="G184" s="17" t="s">
        <v>34</v>
      </c>
      <c r="H184" s="13" t="s">
        <v>27</v>
      </c>
      <c r="I184" s="14" t="s">
        <v>92</v>
      </c>
      <c r="J184" s="14" t="s">
        <v>382</v>
      </c>
      <c r="K184" s="8" t="s">
        <v>537</v>
      </c>
      <c r="L184" s="8" t="s">
        <v>401</v>
      </c>
      <c r="M184" s="8"/>
    </row>
    <row r="185" spans="1:13" ht="26.4" x14ac:dyDescent="0.3">
      <c r="A185" s="8" t="s">
        <v>545</v>
      </c>
      <c r="B185" s="8"/>
      <c r="C185" s="10" t="s">
        <v>546</v>
      </c>
      <c r="D185" s="8" t="s">
        <v>63</v>
      </c>
      <c r="E185" s="8" t="s">
        <v>66</v>
      </c>
      <c r="F185" s="11" t="s">
        <v>83</v>
      </c>
      <c r="G185" s="17" t="s">
        <v>34</v>
      </c>
      <c r="H185" s="13" t="s">
        <v>27</v>
      </c>
      <c r="I185" s="14" t="s">
        <v>92</v>
      </c>
      <c r="J185" s="14" t="s">
        <v>382</v>
      </c>
      <c r="K185" s="8" t="s">
        <v>537</v>
      </c>
      <c r="L185" s="8" t="s">
        <v>401</v>
      </c>
      <c r="M185" s="8"/>
    </row>
    <row r="186" spans="1:13" ht="26.4" x14ac:dyDescent="0.3">
      <c r="A186" s="8" t="s">
        <v>554</v>
      </c>
      <c r="B186" s="8"/>
      <c r="C186" s="10" t="s">
        <v>555</v>
      </c>
      <c r="D186" s="8" t="s">
        <v>63</v>
      </c>
      <c r="E186" s="8" t="s">
        <v>66</v>
      </c>
      <c r="F186" s="11" t="s">
        <v>83</v>
      </c>
      <c r="G186" s="15" t="s">
        <v>35</v>
      </c>
      <c r="H186" s="13" t="s">
        <v>27</v>
      </c>
      <c r="I186" s="14" t="s">
        <v>92</v>
      </c>
      <c r="J186" s="14" t="s">
        <v>382</v>
      </c>
      <c r="K186" s="8" t="s">
        <v>537</v>
      </c>
      <c r="L186" s="8" t="s">
        <v>401</v>
      </c>
      <c r="M186" s="8"/>
    </row>
    <row r="187" spans="1:13" ht="26.4" x14ac:dyDescent="0.3">
      <c r="A187" s="8" t="s">
        <v>199</v>
      </c>
      <c r="B187" s="8"/>
      <c r="C187" s="10" t="s">
        <v>200</v>
      </c>
      <c r="D187" s="8" t="s">
        <v>44</v>
      </c>
      <c r="E187" s="8" t="s">
        <v>45</v>
      </c>
      <c r="F187" s="11" t="s">
        <v>83</v>
      </c>
      <c r="G187" s="12" t="s">
        <v>33</v>
      </c>
      <c r="H187" s="13" t="s">
        <v>27</v>
      </c>
      <c r="I187" s="14" t="s">
        <v>84</v>
      </c>
      <c r="J187" s="14" t="s">
        <v>85</v>
      </c>
      <c r="K187" s="8" t="s">
        <v>201</v>
      </c>
      <c r="L187" s="8" t="s">
        <v>201</v>
      </c>
      <c r="M187" s="8"/>
    </row>
    <row r="188" spans="1:13" ht="26.4" x14ac:dyDescent="0.3">
      <c r="A188" s="8" t="s">
        <v>355</v>
      </c>
      <c r="B188" s="8"/>
      <c r="C188" s="10" t="s">
        <v>356</v>
      </c>
      <c r="D188" s="8" t="s">
        <v>44</v>
      </c>
      <c r="E188" s="8" t="s">
        <v>50</v>
      </c>
      <c r="F188" s="11" t="s">
        <v>83</v>
      </c>
      <c r="G188" s="15" t="s">
        <v>35</v>
      </c>
      <c r="H188" s="13" t="s">
        <v>27</v>
      </c>
      <c r="I188" s="14" t="s">
        <v>84</v>
      </c>
      <c r="J188" s="14" t="s">
        <v>188</v>
      </c>
      <c r="K188" s="8" t="s">
        <v>201</v>
      </c>
      <c r="L188" s="8" t="s">
        <v>201</v>
      </c>
      <c r="M188" s="8"/>
    </row>
    <row r="189" spans="1:13" ht="26.4" x14ac:dyDescent="0.3">
      <c r="A189" s="8" t="s">
        <v>357</v>
      </c>
      <c r="B189" s="8"/>
      <c r="C189" s="10" t="s">
        <v>358</v>
      </c>
      <c r="D189" s="8" t="s">
        <v>44</v>
      </c>
      <c r="E189" s="8" t="s">
        <v>50</v>
      </c>
      <c r="F189" s="11" t="s">
        <v>83</v>
      </c>
      <c r="G189" s="15" t="s">
        <v>35</v>
      </c>
      <c r="H189" s="13" t="s">
        <v>27</v>
      </c>
      <c r="I189" s="14" t="s">
        <v>84</v>
      </c>
      <c r="J189" s="14" t="s">
        <v>188</v>
      </c>
      <c r="K189" s="8" t="s">
        <v>201</v>
      </c>
      <c r="L189" s="8" t="s">
        <v>201</v>
      </c>
      <c r="M189" s="8"/>
    </row>
    <row r="190" spans="1:13" ht="39.6" x14ac:dyDescent="0.3">
      <c r="A190" s="8" t="s">
        <v>467</v>
      </c>
      <c r="B190" s="8"/>
      <c r="C190" s="10" t="s">
        <v>468</v>
      </c>
      <c r="D190" s="8" t="s">
        <v>63</v>
      </c>
      <c r="E190" s="8" t="s">
        <v>64</v>
      </c>
      <c r="F190" s="11" t="s">
        <v>83</v>
      </c>
      <c r="G190" s="12" t="s">
        <v>33</v>
      </c>
      <c r="H190" s="13" t="s">
        <v>27</v>
      </c>
      <c r="I190" s="14" t="s">
        <v>92</v>
      </c>
      <c r="J190" s="14" t="s">
        <v>85</v>
      </c>
      <c r="K190" s="8" t="s">
        <v>201</v>
      </c>
      <c r="L190" s="8" t="s">
        <v>401</v>
      </c>
      <c r="M190" s="8"/>
    </row>
    <row r="191" spans="1:13" ht="26.4" x14ac:dyDescent="0.3">
      <c r="A191" s="8" t="s">
        <v>409</v>
      </c>
      <c r="B191" s="8"/>
      <c r="C191" s="10" t="s">
        <v>410</v>
      </c>
      <c r="D191" s="8" t="s">
        <v>52</v>
      </c>
      <c r="E191" s="8" t="s">
        <v>58</v>
      </c>
      <c r="F191" s="11" t="s">
        <v>83</v>
      </c>
      <c r="G191" s="15" t="s">
        <v>35</v>
      </c>
      <c r="H191" s="13" t="s">
        <v>27</v>
      </c>
      <c r="I191" s="14" t="s">
        <v>84</v>
      </c>
      <c r="J191" s="14" t="s">
        <v>85</v>
      </c>
      <c r="K191" s="8" t="s">
        <v>401</v>
      </c>
      <c r="L191" s="8" t="s">
        <v>411</v>
      </c>
      <c r="M191" s="8"/>
    </row>
    <row r="192" spans="1:13" ht="26.4" x14ac:dyDescent="0.3">
      <c r="A192" s="8" t="s">
        <v>447</v>
      </c>
      <c r="B192" s="8"/>
      <c r="C192" s="10" t="s">
        <v>448</v>
      </c>
      <c r="D192" s="8" t="s">
        <v>52</v>
      </c>
      <c r="E192" s="8" t="s">
        <v>60</v>
      </c>
      <c r="F192" s="11" t="s">
        <v>83</v>
      </c>
      <c r="G192" s="12" t="s">
        <v>33</v>
      </c>
      <c r="H192" s="13" t="s">
        <v>27</v>
      </c>
      <c r="I192" s="14" t="s">
        <v>84</v>
      </c>
      <c r="J192" s="14" t="s">
        <v>85</v>
      </c>
      <c r="K192" s="8" t="s">
        <v>401</v>
      </c>
      <c r="L192" s="8" t="s">
        <v>401</v>
      </c>
      <c r="M192" s="8"/>
    </row>
    <row r="193" spans="1:13" ht="26.4" x14ac:dyDescent="0.3">
      <c r="A193" s="8" t="s">
        <v>511</v>
      </c>
      <c r="B193" s="8"/>
      <c r="C193" s="10" t="s">
        <v>512</v>
      </c>
      <c r="D193" s="8" t="s">
        <v>63</v>
      </c>
      <c r="E193" s="8" t="s">
        <v>65</v>
      </c>
      <c r="F193" s="11" t="s">
        <v>83</v>
      </c>
      <c r="G193" s="12" t="s">
        <v>33</v>
      </c>
      <c r="H193" s="13" t="s">
        <v>27</v>
      </c>
      <c r="I193" s="14" t="s">
        <v>84</v>
      </c>
      <c r="J193" s="14" t="s">
        <v>85</v>
      </c>
      <c r="K193" s="8" t="s">
        <v>401</v>
      </c>
      <c r="L193" s="8" t="s">
        <v>401</v>
      </c>
      <c r="M193" s="8"/>
    </row>
    <row r="194" spans="1:13" ht="26.4" x14ac:dyDescent="0.3">
      <c r="A194" s="8" t="s">
        <v>513</v>
      </c>
      <c r="B194" s="8"/>
      <c r="C194" s="10" t="s">
        <v>514</v>
      </c>
      <c r="D194" s="8" t="s">
        <v>63</v>
      </c>
      <c r="E194" s="8" t="s">
        <v>65</v>
      </c>
      <c r="F194" s="11" t="s">
        <v>83</v>
      </c>
      <c r="G194" s="12" t="s">
        <v>33</v>
      </c>
      <c r="H194" s="13" t="s">
        <v>27</v>
      </c>
      <c r="I194" s="14" t="s">
        <v>84</v>
      </c>
      <c r="J194" s="14" t="s">
        <v>85</v>
      </c>
      <c r="K194" s="8" t="s">
        <v>401</v>
      </c>
      <c r="L194" s="8" t="s">
        <v>401</v>
      </c>
      <c r="M194" s="8"/>
    </row>
    <row r="195" spans="1:13" ht="26.4" x14ac:dyDescent="0.3">
      <c r="A195" s="8" t="s">
        <v>515</v>
      </c>
      <c r="B195" s="8"/>
      <c r="C195" s="10" t="s">
        <v>516</v>
      </c>
      <c r="D195" s="8" t="s">
        <v>63</v>
      </c>
      <c r="E195" s="8" t="s">
        <v>65</v>
      </c>
      <c r="F195" s="11" t="s">
        <v>83</v>
      </c>
      <c r="G195" s="12" t="s">
        <v>33</v>
      </c>
      <c r="H195" s="13" t="s">
        <v>27</v>
      </c>
      <c r="I195" s="14" t="s">
        <v>84</v>
      </c>
      <c r="J195" s="14" t="s">
        <v>85</v>
      </c>
      <c r="K195" s="8" t="s">
        <v>401</v>
      </c>
      <c r="L195" s="8" t="s">
        <v>401</v>
      </c>
      <c r="M195" s="8"/>
    </row>
    <row r="196" spans="1:13" ht="26.4" x14ac:dyDescent="0.3">
      <c r="A196" s="8" t="s">
        <v>547</v>
      </c>
      <c r="B196" s="8"/>
      <c r="C196" s="10" t="s">
        <v>548</v>
      </c>
      <c r="D196" s="8" t="s">
        <v>63</v>
      </c>
      <c r="E196" s="8" t="s">
        <v>66</v>
      </c>
      <c r="F196" s="11" t="s">
        <v>83</v>
      </c>
      <c r="G196" s="17" t="s">
        <v>34</v>
      </c>
      <c r="H196" s="13" t="s">
        <v>27</v>
      </c>
      <c r="I196" s="14" t="s">
        <v>84</v>
      </c>
      <c r="J196" s="14" t="s">
        <v>382</v>
      </c>
      <c r="K196" s="8" t="s">
        <v>401</v>
      </c>
      <c r="L196" s="8" t="s">
        <v>401</v>
      </c>
      <c r="M196" s="8"/>
    </row>
    <row r="197" spans="1:13" x14ac:dyDescent="0.3">
      <c r="A197" s="8" t="s">
        <v>556</v>
      </c>
      <c r="B197" s="8"/>
      <c r="C197" s="10" t="s">
        <v>557</v>
      </c>
      <c r="D197" s="8" t="s">
        <v>63</v>
      </c>
      <c r="E197" s="8" t="s">
        <v>66</v>
      </c>
      <c r="F197" s="11" t="s">
        <v>83</v>
      </c>
      <c r="G197" s="15" t="s">
        <v>35</v>
      </c>
      <c r="H197" s="13" t="s">
        <v>27</v>
      </c>
      <c r="I197" s="14" t="s">
        <v>92</v>
      </c>
      <c r="J197" s="14" t="s">
        <v>382</v>
      </c>
      <c r="K197" s="8" t="s">
        <v>401</v>
      </c>
      <c r="L197" s="8" t="s">
        <v>401</v>
      </c>
      <c r="M197" s="8"/>
    </row>
    <row r="198" spans="1:13" ht="26.4" x14ac:dyDescent="0.3">
      <c r="A198" s="8" t="s">
        <v>558</v>
      </c>
      <c r="B198" s="8"/>
      <c r="C198" s="10" t="s">
        <v>559</v>
      </c>
      <c r="D198" s="8" t="s">
        <v>63</v>
      </c>
      <c r="E198" s="8" t="s">
        <v>66</v>
      </c>
      <c r="F198" s="11" t="s">
        <v>83</v>
      </c>
      <c r="G198" s="15" t="s">
        <v>35</v>
      </c>
      <c r="H198" s="13" t="s">
        <v>27</v>
      </c>
      <c r="I198" s="14" t="s">
        <v>92</v>
      </c>
      <c r="J198" s="14" t="s">
        <v>382</v>
      </c>
      <c r="K198" s="8" t="s">
        <v>401</v>
      </c>
      <c r="L198" s="8" t="s">
        <v>401</v>
      </c>
      <c r="M198" s="8"/>
    </row>
    <row r="199" spans="1:13" ht="26.4" x14ac:dyDescent="0.3">
      <c r="A199" s="8" t="s">
        <v>560</v>
      </c>
      <c r="B199" s="8"/>
      <c r="C199" s="10" t="s">
        <v>561</v>
      </c>
      <c r="D199" s="8" t="s">
        <v>63</v>
      </c>
      <c r="E199" s="8" t="s">
        <v>66</v>
      </c>
      <c r="F199" s="11" t="s">
        <v>83</v>
      </c>
      <c r="G199" s="15" t="s">
        <v>35</v>
      </c>
      <c r="H199" s="13" t="s">
        <v>27</v>
      </c>
      <c r="I199" s="14" t="s">
        <v>84</v>
      </c>
      <c r="J199" s="14" t="s">
        <v>382</v>
      </c>
      <c r="K199" s="8" t="s">
        <v>401</v>
      </c>
      <c r="L199" s="8" t="s">
        <v>401</v>
      </c>
      <c r="M199" s="8"/>
    </row>
    <row r="200" spans="1:13" ht="26.4" x14ac:dyDescent="0.3">
      <c r="A200" s="8" t="s">
        <v>562</v>
      </c>
      <c r="B200" s="8"/>
      <c r="C200" s="10" t="s">
        <v>563</v>
      </c>
      <c r="D200" s="8" t="s">
        <v>63</v>
      </c>
      <c r="E200" s="8" t="s">
        <v>66</v>
      </c>
      <c r="F200" s="11" t="s">
        <v>83</v>
      </c>
      <c r="G200" s="15" t="s">
        <v>35</v>
      </c>
      <c r="H200" s="13" t="s">
        <v>27</v>
      </c>
      <c r="I200" s="14" t="s">
        <v>84</v>
      </c>
      <c r="J200" s="14" t="s">
        <v>382</v>
      </c>
      <c r="K200" s="8" t="s">
        <v>401</v>
      </c>
      <c r="L200" s="8" t="s">
        <v>401</v>
      </c>
      <c r="M200" s="8"/>
    </row>
    <row r="201" spans="1:13" ht="26.4" x14ac:dyDescent="0.3">
      <c r="A201" s="8" t="s">
        <v>564</v>
      </c>
      <c r="B201" s="8"/>
      <c r="C201" s="10" t="s">
        <v>565</v>
      </c>
      <c r="D201" s="8" t="s">
        <v>63</v>
      </c>
      <c r="E201" s="8" t="s">
        <v>66</v>
      </c>
      <c r="F201" s="11" t="s">
        <v>83</v>
      </c>
      <c r="G201" s="15" t="s">
        <v>35</v>
      </c>
      <c r="H201" s="13" t="s">
        <v>27</v>
      </c>
      <c r="I201" s="14" t="s">
        <v>84</v>
      </c>
      <c r="J201" s="14" t="s">
        <v>382</v>
      </c>
      <c r="K201" s="8" t="s">
        <v>401</v>
      </c>
      <c r="L201" s="8" t="s">
        <v>401</v>
      </c>
      <c r="M201" s="8"/>
    </row>
    <row r="202" spans="1:13" ht="26.4" x14ac:dyDescent="0.3">
      <c r="A202" s="8" t="s">
        <v>566</v>
      </c>
      <c r="B202" s="8"/>
      <c r="C202" s="10" t="s">
        <v>567</v>
      </c>
      <c r="D202" s="8" t="s">
        <v>63</v>
      </c>
      <c r="E202" s="8" t="s">
        <v>66</v>
      </c>
      <c r="F202" s="11" t="s">
        <v>83</v>
      </c>
      <c r="G202" s="15" t="s">
        <v>35</v>
      </c>
      <c r="H202" s="13" t="s">
        <v>27</v>
      </c>
      <c r="I202" s="14" t="s">
        <v>92</v>
      </c>
      <c r="J202" s="14" t="s">
        <v>382</v>
      </c>
      <c r="K202" s="8" t="s">
        <v>401</v>
      </c>
      <c r="L202" s="8" t="s">
        <v>401</v>
      </c>
      <c r="M202" s="8"/>
    </row>
    <row r="203" spans="1:13" ht="26.4" x14ac:dyDescent="0.3">
      <c r="A203" s="8" t="s">
        <v>568</v>
      </c>
      <c r="B203" s="8"/>
      <c r="C203" s="10" t="s">
        <v>569</v>
      </c>
      <c r="D203" s="8" t="s">
        <v>63</v>
      </c>
      <c r="E203" s="8" t="s">
        <v>66</v>
      </c>
      <c r="F203" s="11" t="s">
        <v>83</v>
      </c>
      <c r="G203" s="15" t="s">
        <v>35</v>
      </c>
      <c r="H203" s="13" t="s">
        <v>27</v>
      </c>
      <c r="I203" s="14" t="s">
        <v>92</v>
      </c>
      <c r="J203" s="14" t="s">
        <v>382</v>
      </c>
      <c r="K203" s="8" t="s">
        <v>401</v>
      </c>
      <c r="L203" s="8" t="s">
        <v>401</v>
      </c>
      <c r="M203" s="8"/>
    </row>
    <row r="204" spans="1:13" ht="26.4" x14ac:dyDescent="0.3">
      <c r="A204" s="8" t="s">
        <v>156</v>
      </c>
      <c r="B204" s="8"/>
      <c r="C204" s="10" t="s">
        <v>157</v>
      </c>
      <c r="D204" s="8" t="s">
        <v>38</v>
      </c>
      <c r="E204" s="8" t="s">
        <v>41</v>
      </c>
      <c r="F204" s="11" t="s">
        <v>83</v>
      </c>
      <c r="G204" s="12" t="s">
        <v>33</v>
      </c>
      <c r="H204" s="13" t="s">
        <v>27</v>
      </c>
      <c r="I204" s="14" t="s">
        <v>84</v>
      </c>
      <c r="J204" s="14" t="s">
        <v>85</v>
      </c>
      <c r="K204" s="8" t="s">
        <v>158</v>
      </c>
      <c r="L204" s="8" t="s">
        <v>158</v>
      </c>
      <c r="M204" s="8"/>
    </row>
    <row r="205" spans="1:13" ht="26.4" x14ac:dyDescent="0.3">
      <c r="A205" s="8" t="s">
        <v>202</v>
      </c>
      <c r="B205" s="8"/>
      <c r="C205" s="10" t="s">
        <v>203</v>
      </c>
      <c r="D205" s="8" t="s">
        <v>44</v>
      </c>
      <c r="E205" s="8" t="s">
        <v>45</v>
      </c>
      <c r="F205" s="11" t="s">
        <v>83</v>
      </c>
      <c r="G205" s="12" t="s">
        <v>33</v>
      </c>
      <c r="H205" s="13" t="s">
        <v>27</v>
      </c>
      <c r="I205" s="14" t="s">
        <v>84</v>
      </c>
      <c r="J205" s="14" t="s">
        <v>85</v>
      </c>
      <c r="K205" s="8" t="s">
        <v>158</v>
      </c>
      <c r="L205" s="8" t="s">
        <v>158</v>
      </c>
      <c r="M205" s="8"/>
    </row>
    <row r="206" spans="1:13" ht="26.4" x14ac:dyDescent="0.3">
      <c r="A206" s="8" t="s">
        <v>449</v>
      </c>
      <c r="B206" s="8"/>
      <c r="C206" s="10" t="s">
        <v>450</v>
      </c>
      <c r="D206" s="8" t="s">
        <v>52</v>
      </c>
      <c r="E206" s="8" t="s">
        <v>60</v>
      </c>
      <c r="F206" s="16" t="s">
        <v>36</v>
      </c>
      <c r="G206" s="12" t="s">
        <v>33</v>
      </c>
      <c r="H206" s="15" t="s">
        <v>29</v>
      </c>
      <c r="I206" s="14" t="s">
        <v>84</v>
      </c>
      <c r="J206" s="14" t="s">
        <v>84</v>
      </c>
      <c r="K206" s="8" t="s">
        <v>158</v>
      </c>
      <c r="L206" s="8" t="s">
        <v>158</v>
      </c>
      <c r="M206" s="8"/>
    </row>
    <row r="207" spans="1:13" ht="26.4" x14ac:dyDescent="0.3">
      <c r="A207" s="8" t="s">
        <v>412</v>
      </c>
      <c r="B207" s="8"/>
      <c r="C207" s="10" t="s">
        <v>413</v>
      </c>
      <c r="D207" s="8" t="s">
        <v>52</v>
      </c>
      <c r="E207" s="8" t="s">
        <v>58</v>
      </c>
      <c r="F207" s="15" t="s">
        <v>37</v>
      </c>
      <c r="G207" s="15" t="s">
        <v>35</v>
      </c>
      <c r="H207" s="13" t="s">
        <v>27</v>
      </c>
      <c r="I207" s="14" t="s">
        <v>92</v>
      </c>
      <c r="J207" s="14" t="s">
        <v>84</v>
      </c>
      <c r="K207" s="8" t="s">
        <v>411</v>
      </c>
      <c r="L207" s="8" t="s">
        <v>411</v>
      </c>
      <c r="M207" s="8"/>
    </row>
    <row r="208" spans="1:13" ht="26.4" x14ac:dyDescent="0.3">
      <c r="A208" s="8" t="s">
        <v>675</v>
      </c>
      <c r="B208" s="8"/>
      <c r="C208" s="10" t="s">
        <v>676</v>
      </c>
      <c r="D208" s="8" t="s">
        <v>17</v>
      </c>
      <c r="E208" s="8" t="s">
        <v>68</v>
      </c>
      <c r="F208" s="11" t="s">
        <v>83</v>
      </c>
      <c r="G208" s="15" t="s">
        <v>35</v>
      </c>
      <c r="H208" s="13" t="s">
        <v>27</v>
      </c>
      <c r="I208" s="14" t="s">
        <v>84</v>
      </c>
      <c r="J208" s="14" t="s">
        <v>188</v>
      </c>
      <c r="K208" s="8" t="s">
        <v>138</v>
      </c>
      <c r="L208" s="8" t="s">
        <v>138</v>
      </c>
      <c r="M208" s="8"/>
    </row>
    <row r="209" spans="1:13" ht="26.4" x14ac:dyDescent="0.3">
      <c r="A209" s="8" t="s">
        <v>159</v>
      </c>
      <c r="B209" s="8"/>
      <c r="C209" s="10" t="s">
        <v>160</v>
      </c>
      <c r="D209" s="8" t="s">
        <v>38</v>
      </c>
      <c r="E209" s="8" t="s">
        <v>41</v>
      </c>
      <c r="F209" s="11" t="s">
        <v>83</v>
      </c>
      <c r="G209" s="12" t="s">
        <v>33</v>
      </c>
      <c r="H209" s="13" t="s">
        <v>27</v>
      </c>
      <c r="I209" s="14" t="s">
        <v>84</v>
      </c>
      <c r="J209" s="14" t="s">
        <v>85</v>
      </c>
      <c r="K209" s="8" t="s">
        <v>161</v>
      </c>
      <c r="L209" s="8" t="s">
        <v>161</v>
      </c>
      <c r="M209" s="8"/>
    </row>
    <row r="210" spans="1:13" ht="26.4" x14ac:dyDescent="0.3">
      <c r="A210" s="8" t="s">
        <v>453</v>
      </c>
      <c r="B210" s="8"/>
      <c r="C210" s="10" t="s">
        <v>454</v>
      </c>
      <c r="D210" s="8" t="s">
        <v>52</v>
      </c>
      <c r="E210" s="8" t="s">
        <v>60</v>
      </c>
      <c r="F210" s="11" t="s">
        <v>83</v>
      </c>
      <c r="G210" s="15" t="s">
        <v>35</v>
      </c>
      <c r="H210" s="13" t="s">
        <v>27</v>
      </c>
      <c r="I210" s="14" t="s">
        <v>84</v>
      </c>
      <c r="J210" s="14" t="s">
        <v>382</v>
      </c>
      <c r="K210" s="8" t="s">
        <v>161</v>
      </c>
      <c r="L210" s="8" t="s">
        <v>161</v>
      </c>
      <c r="M210" s="8"/>
    </row>
    <row r="211" spans="1:13" ht="26.4" x14ac:dyDescent="0.3">
      <c r="A211" s="8" t="s">
        <v>524</v>
      </c>
      <c r="B211" s="8"/>
      <c r="C211" s="10" t="s">
        <v>525</v>
      </c>
      <c r="D211" s="8" t="s">
        <v>63</v>
      </c>
      <c r="E211" s="8" t="s">
        <v>65</v>
      </c>
      <c r="F211" s="15" t="s">
        <v>37</v>
      </c>
      <c r="G211" s="15" t="s">
        <v>35</v>
      </c>
      <c r="H211" s="13" t="s">
        <v>27</v>
      </c>
      <c r="I211" s="14" t="s">
        <v>92</v>
      </c>
      <c r="J211" s="14" t="s">
        <v>382</v>
      </c>
      <c r="K211" s="8" t="s">
        <v>404</v>
      </c>
      <c r="L211" s="8" t="s">
        <v>404</v>
      </c>
      <c r="M211" s="8"/>
    </row>
    <row r="212" spans="1:13" ht="26.4" x14ac:dyDescent="0.3">
      <c r="A212" s="8" t="s">
        <v>526</v>
      </c>
      <c r="B212" s="8"/>
      <c r="C212" s="10" t="s">
        <v>527</v>
      </c>
      <c r="D212" s="8" t="s">
        <v>63</v>
      </c>
      <c r="E212" s="8" t="s">
        <v>65</v>
      </c>
      <c r="F212" s="16" t="s">
        <v>36</v>
      </c>
      <c r="G212" s="15" t="s">
        <v>35</v>
      </c>
      <c r="H212" s="13" t="s">
        <v>27</v>
      </c>
      <c r="I212" s="14" t="s">
        <v>84</v>
      </c>
      <c r="J212" s="14" t="s">
        <v>382</v>
      </c>
      <c r="K212" s="8" t="s">
        <v>404</v>
      </c>
      <c r="L212" s="8" t="s">
        <v>404</v>
      </c>
      <c r="M212" s="8"/>
    </row>
    <row r="213" spans="1:13" ht="26.4" x14ac:dyDescent="0.3">
      <c r="A213" s="8" t="s">
        <v>528</v>
      </c>
      <c r="B213" s="8"/>
      <c r="C213" s="10" t="s">
        <v>529</v>
      </c>
      <c r="D213" s="8" t="s">
        <v>63</v>
      </c>
      <c r="E213" s="8" t="s">
        <v>65</v>
      </c>
      <c r="F213" s="16" t="s">
        <v>36</v>
      </c>
      <c r="G213" s="15" t="s">
        <v>35</v>
      </c>
      <c r="H213" s="13" t="s">
        <v>27</v>
      </c>
      <c r="I213" s="14" t="s">
        <v>84</v>
      </c>
      <c r="J213" s="14" t="s">
        <v>382</v>
      </c>
      <c r="K213" s="8" t="s">
        <v>404</v>
      </c>
      <c r="L213" s="8" t="s">
        <v>404</v>
      </c>
      <c r="M213" s="8"/>
    </row>
    <row r="214" spans="1:13" ht="26.4" x14ac:dyDescent="0.3">
      <c r="A214" s="8" t="s">
        <v>530</v>
      </c>
      <c r="B214" s="8"/>
      <c r="C214" s="10" t="s">
        <v>531</v>
      </c>
      <c r="D214" s="8" t="s">
        <v>63</v>
      </c>
      <c r="E214" s="8" t="s">
        <v>65</v>
      </c>
      <c r="F214" s="11" t="s">
        <v>83</v>
      </c>
      <c r="G214" s="15" t="s">
        <v>35</v>
      </c>
      <c r="H214" s="13" t="s">
        <v>27</v>
      </c>
      <c r="I214" s="14" t="s">
        <v>84</v>
      </c>
      <c r="J214" s="14" t="s">
        <v>382</v>
      </c>
      <c r="K214" s="8" t="s">
        <v>404</v>
      </c>
      <c r="L214" s="8" t="s">
        <v>532</v>
      </c>
      <c r="M214" s="8"/>
    </row>
    <row r="215" spans="1:13" ht="26.4" x14ac:dyDescent="0.3">
      <c r="A215" s="8" t="s">
        <v>326</v>
      </c>
      <c r="B215" s="8"/>
      <c r="C215" s="10" t="s">
        <v>327</v>
      </c>
      <c r="D215" s="8" t="s">
        <v>44</v>
      </c>
      <c r="E215" s="8" t="s">
        <v>50</v>
      </c>
      <c r="F215" s="11" t="s">
        <v>83</v>
      </c>
      <c r="G215" s="12" t="s">
        <v>33</v>
      </c>
      <c r="H215" s="13" t="s">
        <v>27</v>
      </c>
      <c r="I215" s="14" t="s">
        <v>84</v>
      </c>
      <c r="J215" s="14" t="s">
        <v>85</v>
      </c>
      <c r="K215" s="8" t="s">
        <v>328</v>
      </c>
      <c r="L215" s="8" t="s">
        <v>328</v>
      </c>
      <c r="M215" s="8"/>
    </row>
    <row r="216" spans="1:13" ht="26.4" x14ac:dyDescent="0.3">
      <c r="A216" s="8" t="s">
        <v>329</v>
      </c>
      <c r="B216" s="8"/>
      <c r="C216" s="10" t="s">
        <v>330</v>
      </c>
      <c r="D216" s="8" t="s">
        <v>44</v>
      </c>
      <c r="E216" s="8" t="s">
        <v>50</v>
      </c>
      <c r="F216" s="11" t="s">
        <v>83</v>
      </c>
      <c r="G216" s="12" t="s">
        <v>33</v>
      </c>
      <c r="H216" s="13" t="s">
        <v>27</v>
      </c>
      <c r="I216" s="14" t="s">
        <v>84</v>
      </c>
      <c r="J216" s="14" t="s">
        <v>85</v>
      </c>
      <c r="K216" s="8" t="s">
        <v>328</v>
      </c>
      <c r="L216" s="8" t="s">
        <v>328</v>
      </c>
      <c r="M216" s="8"/>
    </row>
    <row r="217" spans="1:13" x14ac:dyDescent="0.3">
      <c r="A217" s="8" t="s">
        <v>494</v>
      </c>
      <c r="B217" s="8"/>
      <c r="C217" s="10" t="s">
        <v>495</v>
      </c>
      <c r="D217" s="8" t="s">
        <v>63</v>
      </c>
      <c r="E217" s="8" t="s">
        <v>65</v>
      </c>
      <c r="F217" s="11" t="s">
        <v>83</v>
      </c>
      <c r="G217" s="18" t="s">
        <v>32</v>
      </c>
      <c r="H217" s="13" t="s">
        <v>27</v>
      </c>
      <c r="I217" s="14" t="s">
        <v>92</v>
      </c>
      <c r="J217" s="14" t="s">
        <v>85</v>
      </c>
      <c r="K217" s="8" t="s">
        <v>496</v>
      </c>
      <c r="L217" s="8" t="s">
        <v>497</v>
      </c>
      <c r="M217" s="8"/>
    </row>
    <row r="218" spans="1:13" x14ac:dyDescent="0.3">
      <c r="A218" s="8" t="s">
        <v>498</v>
      </c>
      <c r="B218" s="8"/>
      <c r="C218" s="10" t="s">
        <v>499</v>
      </c>
      <c r="D218" s="8" t="s">
        <v>63</v>
      </c>
      <c r="E218" s="8" t="s">
        <v>65</v>
      </c>
      <c r="F218" s="11" t="s">
        <v>83</v>
      </c>
      <c r="G218" s="18" t="s">
        <v>32</v>
      </c>
      <c r="H218" s="13" t="s">
        <v>27</v>
      </c>
      <c r="I218" s="14" t="s">
        <v>92</v>
      </c>
      <c r="J218" s="14" t="s">
        <v>85</v>
      </c>
      <c r="K218" s="8" t="s">
        <v>500</v>
      </c>
      <c r="L218" s="8" t="s">
        <v>497</v>
      </c>
      <c r="M218" s="8"/>
    </row>
    <row r="219" spans="1:13" x14ac:dyDescent="0.3">
      <c r="A219" s="8" t="s">
        <v>120</v>
      </c>
      <c r="B219" s="8"/>
      <c r="C219" s="10" t="s">
        <v>121</v>
      </c>
      <c r="D219" s="8" t="s">
        <v>38</v>
      </c>
      <c r="E219" s="8" t="s">
        <v>13</v>
      </c>
      <c r="F219" s="11" t="s">
        <v>83</v>
      </c>
      <c r="G219" s="18" t="s">
        <v>32</v>
      </c>
      <c r="H219" s="13" t="s">
        <v>27</v>
      </c>
      <c r="I219" s="14" t="s">
        <v>92</v>
      </c>
      <c r="J219" s="14" t="s">
        <v>85</v>
      </c>
      <c r="K219" s="8" t="s">
        <v>122</v>
      </c>
      <c r="L219" s="8" t="s">
        <v>123</v>
      </c>
      <c r="M219" s="8"/>
    </row>
    <row r="220" spans="1:13" ht="26.4" x14ac:dyDescent="0.3">
      <c r="A220" s="8" t="s">
        <v>469</v>
      </c>
      <c r="B220" s="8"/>
      <c r="C220" s="10" t="s">
        <v>470</v>
      </c>
      <c r="D220" s="8" t="s">
        <v>63</v>
      </c>
      <c r="E220" s="8" t="s">
        <v>64</v>
      </c>
      <c r="F220" s="11" t="s">
        <v>83</v>
      </c>
      <c r="G220" s="12" t="s">
        <v>33</v>
      </c>
      <c r="H220" s="13" t="s">
        <v>27</v>
      </c>
      <c r="I220" s="14" t="s">
        <v>84</v>
      </c>
      <c r="J220" s="14" t="s">
        <v>85</v>
      </c>
      <c r="K220" s="8" t="s">
        <v>471</v>
      </c>
      <c r="L220" s="8" t="s">
        <v>471</v>
      </c>
      <c r="M220" s="8"/>
    </row>
    <row r="221" spans="1:13" ht="26.4" x14ac:dyDescent="0.3">
      <c r="A221" s="8" t="s">
        <v>517</v>
      </c>
      <c r="B221" s="8"/>
      <c r="C221" s="10" t="s">
        <v>518</v>
      </c>
      <c r="D221" s="8" t="s">
        <v>63</v>
      </c>
      <c r="E221" s="8" t="s">
        <v>65</v>
      </c>
      <c r="F221" s="11" t="s">
        <v>83</v>
      </c>
      <c r="G221" s="12" t="s">
        <v>33</v>
      </c>
      <c r="H221" s="13" t="s">
        <v>27</v>
      </c>
      <c r="I221" s="14" t="s">
        <v>84</v>
      </c>
      <c r="J221" s="14" t="s">
        <v>85</v>
      </c>
      <c r="K221" s="8" t="s">
        <v>471</v>
      </c>
      <c r="L221" s="8" t="s">
        <v>471</v>
      </c>
      <c r="M221" s="8"/>
    </row>
    <row r="222" spans="1:13" ht="26.4" x14ac:dyDescent="0.3">
      <c r="A222" s="8" t="s">
        <v>423</v>
      </c>
      <c r="B222" s="8"/>
      <c r="C222" s="10" t="s">
        <v>424</v>
      </c>
      <c r="D222" s="8" t="s">
        <v>52</v>
      </c>
      <c r="E222" s="8" t="s">
        <v>60</v>
      </c>
      <c r="F222" s="11" t="s">
        <v>83</v>
      </c>
      <c r="G222" s="18" t="s">
        <v>32</v>
      </c>
      <c r="H222" s="13" t="s">
        <v>27</v>
      </c>
      <c r="I222" s="14" t="s">
        <v>84</v>
      </c>
      <c r="J222" s="14" t="s">
        <v>85</v>
      </c>
      <c r="K222" s="8" t="s">
        <v>146</v>
      </c>
      <c r="L222" s="8" t="s">
        <v>149</v>
      </c>
      <c r="M222" s="8"/>
    </row>
    <row r="223" spans="1:13" ht="26.4" x14ac:dyDescent="0.3">
      <c r="A223" s="8" t="s">
        <v>425</v>
      </c>
      <c r="B223" s="8"/>
      <c r="C223" s="10" t="s">
        <v>426</v>
      </c>
      <c r="D223" s="8" t="s">
        <v>52</v>
      </c>
      <c r="E223" s="8" t="s">
        <v>60</v>
      </c>
      <c r="F223" s="11" t="s">
        <v>83</v>
      </c>
      <c r="G223" s="18" t="s">
        <v>32</v>
      </c>
      <c r="H223" s="13" t="s">
        <v>27</v>
      </c>
      <c r="I223" s="14" t="s">
        <v>84</v>
      </c>
      <c r="J223" s="14" t="s">
        <v>85</v>
      </c>
      <c r="K223" s="8" t="s">
        <v>146</v>
      </c>
      <c r="L223" s="8" t="s">
        <v>149</v>
      </c>
      <c r="M223" s="8"/>
    </row>
    <row r="224" spans="1:13" x14ac:dyDescent="0.3">
      <c r="A224" s="8" t="s">
        <v>147</v>
      </c>
      <c r="B224" s="8"/>
      <c r="C224" s="10" t="s">
        <v>148</v>
      </c>
      <c r="D224" s="8" t="s">
        <v>38</v>
      </c>
      <c r="E224" s="8" t="s">
        <v>13</v>
      </c>
      <c r="F224" s="11" t="s">
        <v>83</v>
      </c>
      <c r="G224" s="12" t="s">
        <v>33</v>
      </c>
      <c r="H224" s="13" t="s">
        <v>27</v>
      </c>
      <c r="I224" s="14" t="s">
        <v>92</v>
      </c>
      <c r="J224" s="14" t="s">
        <v>85</v>
      </c>
      <c r="K224" s="8" t="s">
        <v>149</v>
      </c>
      <c r="L224" s="8" t="s">
        <v>150</v>
      </c>
      <c r="M224" s="8"/>
    </row>
    <row r="225" spans="1:13" ht="26.4" x14ac:dyDescent="0.3">
      <c r="A225" s="8" t="s">
        <v>151</v>
      </c>
      <c r="B225" s="8" t="s">
        <v>100</v>
      </c>
      <c r="C225" s="10" t="s">
        <v>152</v>
      </c>
      <c r="D225" s="8" t="s">
        <v>38</v>
      </c>
      <c r="E225" s="8" t="s">
        <v>41</v>
      </c>
      <c r="F225" s="11" t="s">
        <v>83</v>
      </c>
      <c r="G225" s="18" t="s">
        <v>32</v>
      </c>
      <c r="H225" s="13" t="s">
        <v>27</v>
      </c>
      <c r="I225" s="14" t="s">
        <v>84</v>
      </c>
      <c r="J225" s="14" t="s">
        <v>85</v>
      </c>
      <c r="K225" s="8" t="s">
        <v>153</v>
      </c>
      <c r="L225" s="8" t="s">
        <v>153</v>
      </c>
      <c r="M225" s="8"/>
    </row>
    <row r="226" spans="1:13" ht="26.4" x14ac:dyDescent="0.3">
      <c r="A226" s="39" t="s">
        <v>316</v>
      </c>
      <c r="B226" s="39" t="s">
        <v>163</v>
      </c>
      <c r="C226" s="40" t="s">
        <v>317</v>
      </c>
      <c r="D226" s="39" t="s">
        <v>44</v>
      </c>
      <c r="E226" s="39" t="s">
        <v>50</v>
      </c>
      <c r="F226" s="41" t="s">
        <v>83</v>
      </c>
      <c r="G226" s="42" t="s">
        <v>33</v>
      </c>
      <c r="H226" s="43" t="s">
        <v>27</v>
      </c>
      <c r="I226" s="44"/>
      <c r="J226" s="44"/>
      <c r="K226" s="39"/>
      <c r="L226" s="39"/>
      <c r="M226" s="8" t="s">
        <v>198</v>
      </c>
    </row>
    <row r="227" spans="1:13" x14ac:dyDescent="0.3">
      <c r="A227" s="49" t="s">
        <v>794</v>
      </c>
      <c r="B227" s="49" t="s">
        <v>205</v>
      </c>
      <c r="C227" s="64" t="s">
        <v>789</v>
      </c>
      <c r="D227" s="50" t="s">
        <v>799</v>
      </c>
      <c r="E227" s="50" t="s">
        <v>799</v>
      </c>
      <c r="F227" s="51"/>
      <c r="G227" s="51" t="s">
        <v>33</v>
      </c>
      <c r="H227" s="51" t="s">
        <v>27</v>
      </c>
      <c r="I227" s="49" t="s">
        <v>84</v>
      </c>
      <c r="J227" s="49" t="s">
        <v>84</v>
      </c>
      <c r="K227" s="52">
        <v>46204.712500000001</v>
      </c>
      <c r="L227" s="52">
        <v>46204.713888888888</v>
      </c>
    </row>
    <row r="228" spans="1:13" x14ac:dyDescent="0.3">
      <c r="A228" s="49" t="s">
        <v>795</v>
      </c>
      <c r="B228" s="49" t="s">
        <v>205</v>
      </c>
      <c r="C228" s="64" t="s">
        <v>790</v>
      </c>
      <c r="D228" s="50" t="s">
        <v>799</v>
      </c>
      <c r="E228" s="50" t="s">
        <v>799</v>
      </c>
      <c r="F228" s="51"/>
      <c r="G228" s="51" t="s">
        <v>33</v>
      </c>
      <c r="H228" s="51" t="s">
        <v>28</v>
      </c>
      <c r="I228" s="49" t="s">
        <v>802</v>
      </c>
      <c r="J228" s="49" t="s">
        <v>84</v>
      </c>
      <c r="K228" s="52">
        <v>46204.711111111108</v>
      </c>
      <c r="L228" s="52">
        <v>46205.464583333334</v>
      </c>
    </row>
    <row r="229" spans="1:13" x14ac:dyDescent="0.3">
      <c r="A229" s="49" t="s">
        <v>796</v>
      </c>
      <c r="B229" s="49" t="s">
        <v>266</v>
      </c>
      <c r="C229" s="64" t="s">
        <v>791</v>
      </c>
      <c r="D229" s="50" t="s">
        <v>799</v>
      </c>
      <c r="E229" s="50" t="s">
        <v>799</v>
      </c>
      <c r="F229" s="51"/>
      <c r="G229" s="51" t="s">
        <v>33</v>
      </c>
      <c r="H229" s="51" t="s">
        <v>28</v>
      </c>
      <c r="I229" s="49" t="s">
        <v>802</v>
      </c>
      <c r="J229" s="49" t="s">
        <v>84</v>
      </c>
      <c r="K229" s="52">
        <v>46204.710416666669</v>
      </c>
      <c r="L229" s="52">
        <v>46205.464583333334</v>
      </c>
    </row>
    <row r="230" spans="1:13" x14ac:dyDescent="0.3">
      <c r="A230" s="49" t="s">
        <v>797</v>
      </c>
      <c r="B230" s="49" t="s">
        <v>163</v>
      </c>
      <c r="C230" s="64" t="s">
        <v>792</v>
      </c>
      <c r="D230" s="50" t="s">
        <v>800</v>
      </c>
      <c r="E230" s="50" t="s">
        <v>60</v>
      </c>
      <c r="F230" s="51"/>
      <c r="G230" s="51" t="s">
        <v>32</v>
      </c>
      <c r="H230" s="51" t="s">
        <v>27</v>
      </c>
      <c r="I230" s="49" t="s">
        <v>92</v>
      </c>
      <c r="J230" s="49" t="s">
        <v>85</v>
      </c>
      <c r="K230" s="52">
        <v>46203.838194444441</v>
      </c>
      <c r="L230" s="52">
        <v>46204.413194444445</v>
      </c>
    </row>
    <row r="231" spans="1:13" ht="28.8" x14ac:dyDescent="0.3">
      <c r="A231" s="49" t="s">
        <v>798</v>
      </c>
      <c r="B231" s="49" t="s">
        <v>100</v>
      </c>
      <c r="C231" s="64" t="s">
        <v>793</v>
      </c>
      <c r="D231" s="50" t="s">
        <v>800</v>
      </c>
      <c r="E231" s="50" t="s">
        <v>801</v>
      </c>
      <c r="F231" s="51"/>
      <c r="G231" s="51" t="s">
        <v>33</v>
      </c>
      <c r="H231" s="51" t="s">
        <v>27</v>
      </c>
      <c r="I231" s="49" t="s">
        <v>84</v>
      </c>
      <c r="J231" s="49" t="s">
        <v>85</v>
      </c>
      <c r="K231" s="52">
        <v>46200.088194444441</v>
      </c>
      <c r="L231" s="52">
        <v>46200.088194444441</v>
      </c>
    </row>
    <row r="232" spans="1:13" x14ac:dyDescent="0.3">
      <c r="A232" s="49" t="s">
        <v>812</v>
      </c>
      <c r="B232" s="49" t="s">
        <v>100</v>
      </c>
      <c r="C232" s="64" t="s">
        <v>813</v>
      </c>
      <c r="D232" s="51" t="s">
        <v>800</v>
      </c>
      <c r="E232" s="51" t="s">
        <v>824</v>
      </c>
      <c r="F232" s="51"/>
      <c r="G232" s="51" t="s">
        <v>32</v>
      </c>
      <c r="H232" s="49" t="s">
        <v>27</v>
      </c>
      <c r="I232" s="49" t="s">
        <v>84</v>
      </c>
      <c r="J232" s="49" t="s">
        <v>85</v>
      </c>
      <c r="K232" s="62">
        <v>46211.036805555559</v>
      </c>
      <c r="L232" s="62">
        <v>46211.036805555559</v>
      </c>
    </row>
    <row r="233" spans="1:13" x14ac:dyDescent="0.3">
      <c r="A233" s="49" t="s">
        <v>814</v>
      </c>
      <c r="B233" s="49" t="s">
        <v>100</v>
      </c>
      <c r="C233" s="64" t="s">
        <v>815</v>
      </c>
      <c r="D233" s="51" t="s">
        <v>63</v>
      </c>
      <c r="E233" s="51" t="s">
        <v>65</v>
      </c>
      <c r="F233" s="51"/>
      <c r="G233" s="51" t="s">
        <v>33</v>
      </c>
      <c r="H233" s="49" t="s">
        <v>27</v>
      </c>
      <c r="I233" s="49" t="s">
        <v>84</v>
      </c>
      <c r="J233" s="49" t="s">
        <v>85</v>
      </c>
      <c r="K233" s="62">
        <v>46210.98541666667</v>
      </c>
      <c r="L233" s="62">
        <v>46210.98541666667</v>
      </c>
    </row>
    <row r="234" spans="1:13" ht="28.8" x14ac:dyDescent="0.3">
      <c r="A234" s="49" t="s">
        <v>816</v>
      </c>
      <c r="B234" s="49" t="s">
        <v>163</v>
      </c>
      <c r="C234" s="64" t="s">
        <v>817</v>
      </c>
      <c r="D234" s="51" t="s">
        <v>800</v>
      </c>
      <c r="E234" s="51" t="s">
        <v>767</v>
      </c>
      <c r="F234" s="51"/>
      <c r="G234" s="51" t="s">
        <v>33</v>
      </c>
      <c r="H234" s="49" t="s">
        <v>27</v>
      </c>
      <c r="I234" s="49" t="s">
        <v>84</v>
      </c>
      <c r="J234" s="49" t="s">
        <v>85</v>
      </c>
      <c r="K234" s="62">
        <v>46210.981944444444</v>
      </c>
      <c r="L234" s="62">
        <v>46210.981944444444</v>
      </c>
    </row>
    <row r="235" spans="1:13" ht="28.8" x14ac:dyDescent="0.3">
      <c r="A235" s="49" t="s">
        <v>818</v>
      </c>
      <c r="B235" s="49" t="s">
        <v>100</v>
      </c>
      <c r="C235" s="64" t="s">
        <v>819</v>
      </c>
      <c r="D235" s="51" t="s">
        <v>799</v>
      </c>
      <c r="E235" s="51" t="s">
        <v>799</v>
      </c>
      <c r="F235" s="51"/>
      <c r="G235" s="51" t="s">
        <v>34</v>
      </c>
      <c r="H235" s="49" t="s">
        <v>28</v>
      </c>
      <c r="I235" s="49" t="s">
        <v>802</v>
      </c>
      <c r="J235" s="49" t="s">
        <v>84</v>
      </c>
      <c r="K235" s="62">
        <v>46210.513888888891</v>
      </c>
      <c r="L235" s="62">
        <v>46210.51458333333</v>
      </c>
    </row>
    <row r="236" spans="1:13" x14ac:dyDescent="0.3">
      <c r="A236" s="49" t="s">
        <v>820</v>
      </c>
      <c r="B236" s="49" t="s">
        <v>163</v>
      </c>
      <c r="C236" s="64" t="s">
        <v>821</v>
      </c>
      <c r="D236" s="51" t="s">
        <v>800</v>
      </c>
      <c r="E236" s="51" t="s">
        <v>58</v>
      </c>
      <c r="F236" s="51"/>
      <c r="G236" s="51" t="s">
        <v>32</v>
      </c>
      <c r="H236" s="49" t="s">
        <v>27</v>
      </c>
      <c r="I236" s="49" t="s">
        <v>92</v>
      </c>
      <c r="J236" s="49" t="s">
        <v>85</v>
      </c>
      <c r="K236" s="62">
        <v>46210.061111111114</v>
      </c>
      <c r="L236" s="62">
        <v>46210.460416666669</v>
      </c>
    </row>
    <row r="237" spans="1:13" x14ac:dyDescent="0.3">
      <c r="A237" s="49" t="s">
        <v>822</v>
      </c>
      <c r="B237" s="49" t="s">
        <v>266</v>
      </c>
      <c r="C237" s="64" t="s">
        <v>823</v>
      </c>
      <c r="D237" s="51" t="s">
        <v>799</v>
      </c>
      <c r="E237" s="51" t="s">
        <v>799</v>
      </c>
      <c r="F237" s="51"/>
      <c r="G237" s="51" t="s">
        <v>33</v>
      </c>
      <c r="H237" s="49" t="s">
        <v>28</v>
      </c>
      <c r="I237" s="49" t="s">
        <v>802</v>
      </c>
      <c r="J237" s="49" t="s">
        <v>84</v>
      </c>
      <c r="K237" s="62">
        <v>46208.613888888889</v>
      </c>
      <c r="L237" s="62">
        <v>46209.37777777778</v>
      </c>
    </row>
  </sheetData>
  <autoFilter ref="A1:M231" xr:uid="{00000000-0009-0000-0000-000002000000}">
    <sortState xmlns:xlrd2="http://schemas.microsoft.com/office/spreadsheetml/2017/richdata2" ref="A2:M226">
      <sortCondition ref="K1:K226"/>
    </sortState>
  </autoFilter>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85"/>
  <sheetViews>
    <sheetView showGridLines="0" zoomScaleNormal="100" workbookViewId="0">
      <pane ySplit="3" topLeftCell="A67" activePane="bottomLeft" state="frozen"/>
      <selection pane="bottomLeft" activeCell="A78" sqref="A78"/>
    </sheetView>
  </sheetViews>
  <sheetFormatPr defaultColWidth="8.6640625" defaultRowHeight="14.4" x14ac:dyDescent="0.3"/>
  <cols>
    <col min="1" max="1" width="11" style="25" customWidth="1"/>
    <col min="2" max="2" width="11.77734375" customWidth="1"/>
    <col min="3" max="3" width="62" customWidth="1"/>
    <col min="4" max="4" width="20.5546875" customWidth="1"/>
    <col min="5" max="5" width="24" customWidth="1"/>
    <col min="6" max="6" width="11.33203125" customWidth="1"/>
    <col min="7" max="7" width="10" customWidth="1"/>
    <col min="8" max="8" width="20" customWidth="1"/>
    <col min="9" max="10" width="20" style="129" customWidth="1"/>
    <col min="11" max="11" width="20" style="45" customWidth="1"/>
    <col min="12" max="12" width="20" customWidth="1"/>
    <col min="13" max="13" width="18" customWidth="1"/>
    <col min="14" max="15" width="12" customWidth="1"/>
    <col min="16" max="16" width="22" customWidth="1"/>
  </cols>
  <sheetData>
    <row r="1" spans="1:16" ht="24" customHeight="1" x14ac:dyDescent="0.3">
      <c r="A1" s="144" t="s">
        <v>687</v>
      </c>
      <c r="B1" s="144"/>
      <c r="C1" s="144"/>
      <c r="D1" s="144"/>
      <c r="E1" s="144"/>
      <c r="F1" s="144"/>
      <c r="G1" s="144"/>
      <c r="H1" s="144"/>
      <c r="I1" s="144"/>
      <c r="J1" s="144"/>
      <c r="K1" s="144"/>
      <c r="L1" s="144"/>
      <c r="M1" s="144"/>
      <c r="N1" s="144"/>
      <c r="O1" s="144"/>
      <c r="P1" s="144"/>
    </row>
    <row r="3" spans="1:16" x14ac:dyDescent="0.3">
      <c r="A3" s="23" t="s">
        <v>70</v>
      </c>
      <c r="B3" s="2" t="s">
        <v>71</v>
      </c>
      <c r="C3" s="2" t="s">
        <v>72</v>
      </c>
      <c r="D3" s="2" t="s">
        <v>24</v>
      </c>
      <c r="E3" s="2" t="s">
        <v>25</v>
      </c>
      <c r="F3" s="2" t="s">
        <v>73</v>
      </c>
      <c r="G3" s="2" t="s">
        <v>74</v>
      </c>
      <c r="H3" s="117" t="s">
        <v>75</v>
      </c>
      <c r="I3" s="127" t="s">
        <v>36</v>
      </c>
      <c r="J3" s="127" t="s">
        <v>37</v>
      </c>
      <c r="K3" s="121" t="s">
        <v>634</v>
      </c>
      <c r="L3" s="120" t="s">
        <v>76</v>
      </c>
      <c r="M3" s="2" t="s">
        <v>77</v>
      </c>
      <c r="N3" s="2" t="s">
        <v>78</v>
      </c>
      <c r="O3" s="2" t="s">
        <v>79</v>
      </c>
      <c r="P3" s="2" t="s">
        <v>80</v>
      </c>
    </row>
    <row r="4" spans="1:16" ht="15" customHeight="1" x14ac:dyDescent="0.3">
      <c r="A4" s="146" t="s">
        <v>688</v>
      </c>
      <c r="B4" s="146"/>
      <c r="C4" s="146"/>
      <c r="D4" s="146"/>
      <c r="E4" s="146"/>
      <c r="F4" s="146"/>
      <c r="G4" s="146"/>
      <c r="H4" s="146"/>
      <c r="I4" s="146"/>
      <c r="J4" s="146"/>
      <c r="K4" s="146"/>
      <c r="L4" s="146"/>
      <c r="M4" s="146"/>
      <c r="N4" s="146"/>
      <c r="O4" s="146"/>
      <c r="P4" s="146"/>
    </row>
    <row r="5" spans="1:16" ht="26.4" x14ac:dyDescent="0.3">
      <c r="A5" s="114" t="s">
        <v>81</v>
      </c>
      <c r="B5" s="8"/>
      <c r="C5" s="10" t="s">
        <v>82</v>
      </c>
      <c r="D5" s="8" t="s">
        <v>38</v>
      </c>
      <c r="E5" s="8" t="s">
        <v>39</v>
      </c>
      <c r="F5" s="11" t="s">
        <v>83</v>
      </c>
      <c r="G5" s="12" t="s">
        <v>33</v>
      </c>
      <c r="H5" s="115" t="s">
        <v>27</v>
      </c>
      <c r="I5" s="128"/>
      <c r="J5" s="128"/>
      <c r="K5" s="122"/>
      <c r="L5" s="135" t="s">
        <v>84</v>
      </c>
      <c r="M5" s="14" t="s">
        <v>85</v>
      </c>
      <c r="N5" s="8" t="s">
        <v>86</v>
      </c>
      <c r="O5" s="8" t="s">
        <v>87</v>
      </c>
      <c r="P5" s="8" t="s">
        <v>720</v>
      </c>
    </row>
    <row r="6" spans="1:16" x14ac:dyDescent="0.3">
      <c r="C6" t="s">
        <v>722</v>
      </c>
    </row>
    <row r="7" spans="1:16" x14ac:dyDescent="0.3">
      <c r="A7" s="24" t="s">
        <v>90</v>
      </c>
      <c r="B7" s="8"/>
      <c r="C7" s="10" t="s">
        <v>91</v>
      </c>
      <c r="D7" s="8" t="s">
        <v>38</v>
      </c>
      <c r="E7" s="8" t="s">
        <v>39</v>
      </c>
      <c r="F7" s="11" t="s">
        <v>83</v>
      </c>
      <c r="G7" s="12" t="s">
        <v>33</v>
      </c>
      <c r="H7" s="115" t="s">
        <v>27</v>
      </c>
      <c r="I7" s="128" t="s">
        <v>911</v>
      </c>
      <c r="J7" s="128" t="s">
        <v>910</v>
      </c>
      <c r="K7" s="122" t="s">
        <v>911</v>
      </c>
      <c r="L7" s="135" t="s">
        <v>92</v>
      </c>
      <c r="M7" s="14" t="s">
        <v>85</v>
      </c>
      <c r="N7" s="8" t="s">
        <v>86</v>
      </c>
      <c r="O7" s="8" t="s">
        <v>87</v>
      </c>
      <c r="P7" s="8" t="s">
        <v>720</v>
      </c>
    </row>
    <row r="8" spans="1:16" ht="26.4" x14ac:dyDescent="0.3">
      <c r="A8" s="75" t="s">
        <v>93</v>
      </c>
      <c r="B8" s="76"/>
      <c r="C8" s="35" t="s">
        <v>94</v>
      </c>
      <c r="D8" s="8" t="s">
        <v>38</v>
      </c>
      <c r="E8" s="8" t="s">
        <v>39</v>
      </c>
      <c r="F8" s="11" t="s">
        <v>83</v>
      </c>
      <c r="G8" s="12" t="s">
        <v>33</v>
      </c>
      <c r="H8" s="115" t="s">
        <v>27</v>
      </c>
      <c r="I8" s="128" t="s">
        <v>912</v>
      </c>
      <c r="J8" s="128" t="s">
        <v>913</v>
      </c>
      <c r="K8" s="122" t="s">
        <v>910</v>
      </c>
      <c r="L8" s="135" t="s">
        <v>92</v>
      </c>
      <c r="M8" s="14" t="s">
        <v>85</v>
      </c>
      <c r="N8" s="8" t="s">
        <v>95</v>
      </c>
      <c r="O8" s="8" t="s">
        <v>87</v>
      </c>
      <c r="P8" s="8" t="s">
        <v>720</v>
      </c>
    </row>
    <row r="9" spans="1:16" ht="26.4" x14ac:dyDescent="0.3">
      <c r="A9" s="24" t="s">
        <v>96</v>
      </c>
      <c r="B9" s="8"/>
      <c r="C9" s="10" t="s">
        <v>97</v>
      </c>
      <c r="D9" s="8" t="s">
        <v>38</v>
      </c>
      <c r="E9" s="8" t="s">
        <v>39</v>
      </c>
      <c r="F9" s="11" t="s">
        <v>83</v>
      </c>
      <c r="G9" s="12" t="s">
        <v>33</v>
      </c>
      <c r="H9" s="115" t="s">
        <v>27</v>
      </c>
      <c r="I9" s="128"/>
      <c r="J9" s="128"/>
      <c r="K9" s="122"/>
      <c r="L9" s="135" t="s">
        <v>84</v>
      </c>
      <c r="M9" s="14" t="s">
        <v>84</v>
      </c>
      <c r="N9" s="8" t="s">
        <v>98</v>
      </c>
      <c r="O9" s="8" t="s">
        <v>87</v>
      </c>
      <c r="P9" s="8" t="s">
        <v>726</v>
      </c>
    </row>
    <row r="10" spans="1:16" x14ac:dyDescent="0.3">
      <c r="A10" s="24" t="s">
        <v>99</v>
      </c>
      <c r="B10" s="8" t="s">
        <v>100</v>
      </c>
      <c r="C10" s="10" t="s">
        <v>101</v>
      </c>
      <c r="D10" s="8" t="s">
        <v>38</v>
      </c>
      <c r="E10" s="8" t="s">
        <v>39</v>
      </c>
      <c r="F10" s="15" t="s">
        <v>37</v>
      </c>
      <c r="G10" s="12" t="s">
        <v>33</v>
      </c>
      <c r="H10" s="118" t="s">
        <v>28</v>
      </c>
      <c r="J10" s="130" t="s">
        <v>914</v>
      </c>
      <c r="K10" s="123" t="s">
        <v>913</v>
      </c>
      <c r="L10" s="135" t="s">
        <v>92</v>
      </c>
      <c r="M10" s="14" t="s">
        <v>92</v>
      </c>
      <c r="N10" s="8" t="s">
        <v>102</v>
      </c>
      <c r="O10" s="8" t="s">
        <v>103</v>
      </c>
      <c r="P10" s="8" t="s">
        <v>104</v>
      </c>
    </row>
    <row r="11" spans="1:16" ht="15" customHeight="1" x14ac:dyDescent="0.3">
      <c r="A11" s="146" t="s">
        <v>689</v>
      </c>
      <c r="B11" s="146"/>
      <c r="C11" s="146"/>
      <c r="D11" s="146"/>
      <c r="E11" s="146"/>
      <c r="F11" s="146"/>
      <c r="G11" s="146"/>
      <c r="H11" s="146"/>
      <c r="I11" s="146"/>
      <c r="J11" s="146"/>
      <c r="K11" s="146"/>
      <c r="L11" s="146"/>
      <c r="M11" s="146"/>
      <c r="N11" s="146"/>
      <c r="O11" s="146"/>
      <c r="P11" s="146"/>
    </row>
    <row r="12" spans="1:16" ht="26.4" x14ac:dyDescent="0.3">
      <c r="A12" s="75" t="s">
        <v>105</v>
      </c>
      <c r="B12" s="76"/>
      <c r="C12" s="35" t="s">
        <v>106</v>
      </c>
      <c r="D12" s="8" t="s">
        <v>38</v>
      </c>
      <c r="E12" s="8" t="s">
        <v>40</v>
      </c>
      <c r="F12" s="11" t="s">
        <v>83</v>
      </c>
      <c r="G12" s="12" t="s">
        <v>33</v>
      </c>
      <c r="H12" s="115" t="s">
        <v>27</v>
      </c>
      <c r="J12" s="128" t="s">
        <v>913</v>
      </c>
      <c r="K12" s="122" t="s">
        <v>910</v>
      </c>
      <c r="L12" s="135" t="s">
        <v>92</v>
      </c>
      <c r="M12" s="14" t="s">
        <v>85</v>
      </c>
      <c r="N12" s="8" t="s">
        <v>107</v>
      </c>
      <c r="O12" s="8" t="s">
        <v>87</v>
      </c>
      <c r="P12" s="8" t="s">
        <v>731</v>
      </c>
    </row>
    <row r="13" spans="1:16" ht="26.4" x14ac:dyDescent="0.3">
      <c r="A13" s="24" t="s">
        <v>108</v>
      </c>
      <c r="B13" s="8"/>
      <c r="C13" s="10" t="s">
        <v>109</v>
      </c>
      <c r="D13" s="8" t="s">
        <v>38</v>
      </c>
      <c r="E13" s="8" t="s">
        <v>40</v>
      </c>
      <c r="F13" s="11" t="s">
        <v>83</v>
      </c>
      <c r="G13" s="12" t="s">
        <v>33</v>
      </c>
      <c r="H13" s="115" t="s">
        <v>27</v>
      </c>
      <c r="I13" s="128"/>
      <c r="J13" s="128"/>
      <c r="K13" s="122"/>
      <c r="L13" s="135" t="s">
        <v>84</v>
      </c>
      <c r="M13" s="14" t="s">
        <v>84</v>
      </c>
      <c r="N13" s="8" t="s">
        <v>98</v>
      </c>
      <c r="O13" s="8" t="s">
        <v>87</v>
      </c>
      <c r="P13" s="8" t="s">
        <v>726</v>
      </c>
    </row>
    <row r="14" spans="1:16" ht="26.4" x14ac:dyDescent="0.3">
      <c r="A14" s="24" t="s">
        <v>110</v>
      </c>
      <c r="B14" s="8"/>
      <c r="C14" s="10" t="s">
        <v>732</v>
      </c>
      <c r="D14" s="8" t="s">
        <v>38</v>
      </c>
      <c r="E14" s="8" t="s">
        <v>40</v>
      </c>
      <c r="F14" s="11" t="s">
        <v>83</v>
      </c>
      <c r="G14" s="12" t="s">
        <v>33</v>
      </c>
      <c r="H14" s="115" t="s">
        <v>27</v>
      </c>
      <c r="I14" s="128"/>
      <c r="J14" s="128" t="s">
        <v>912</v>
      </c>
      <c r="K14" s="122" t="s">
        <v>910</v>
      </c>
      <c r="L14" s="135" t="s">
        <v>84</v>
      </c>
      <c r="M14" s="14" t="s">
        <v>85</v>
      </c>
      <c r="N14" s="8" t="s">
        <v>112</v>
      </c>
      <c r="O14" s="8" t="s">
        <v>112</v>
      </c>
      <c r="P14" s="8"/>
    </row>
    <row r="15" spans="1:16" ht="26.4" x14ac:dyDescent="0.3">
      <c r="A15" s="114" t="s">
        <v>113</v>
      </c>
      <c r="B15" s="8" t="s">
        <v>100</v>
      </c>
      <c r="C15" s="10" t="s">
        <v>114</v>
      </c>
      <c r="D15" s="8" t="s">
        <v>38</v>
      </c>
      <c r="E15" s="8" t="s">
        <v>40</v>
      </c>
      <c r="F15" s="15" t="s">
        <v>37</v>
      </c>
      <c r="G15" s="17" t="s">
        <v>34</v>
      </c>
      <c r="H15" s="115" t="s">
        <v>27</v>
      </c>
      <c r="I15" s="128"/>
      <c r="J15" s="128"/>
      <c r="K15" s="122"/>
      <c r="L15" s="135" t="s">
        <v>92</v>
      </c>
      <c r="M15" s="14" t="s">
        <v>115</v>
      </c>
      <c r="N15" s="8" t="s">
        <v>116</v>
      </c>
      <c r="O15" s="8" t="s">
        <v>116</v>
      </c>
      <c r="P15" s="8"/>
    </row>
    <row r="16" spans="1:16" ht="26.4" x14ac:dyDescent="0.3">
      <c r="A16" s="114" t="s">
        <v>118</v>
      </c>
      <c r="B16" s="8" t="s">
        <v>100</v>
      </c>
      <c r="C16" s="10" t="s">
        <v>119</v>
      </c>
      <c r="D16" s="8" t="s">
        <v>38</v>
      </c>
      <c r="E16" s="8" t="s">
        <v>40</v>
      </c>
      <c r="F16" s="15" t="s">
        <v>37</v>
      </c>
      <c r="G16" s="15" t="s">
        <v>35</v>
      </c>
      <c r="H16" s="115" t="s">
        <v>27</v>
      </c>
      <c r="I16" s="128"/>
      <c r="J16" s="128"/>
      <c r="K16" s="122"/>
      <c r="L16" s="135" t="s">
        <v>92</v>
      </c>
      <c r="M16" s="14" t="s">
        <v>115</v>
      </c>
      <c r="N16" s="8" t="s">
        <v>116</v>
      </c>
      <c r="O16" s="8" t="s">
        <v>116</v>
      </c>
      <c r="P16" s="8"/>
    </row>
    <row r="17" spans="1:16" ht="15" customHeight="1" x14ac:dyDescent="0.3">
      <c r="A17" s="146" t="s">
        <v>690</v>
      </c>
      <c r="B17" s="146"/>
      <c r="C17" s="146"/>
      <c r="D17" s="146"/>
      <c r="E17" s="146"/>
      <c r="F17" s="146"/>
      <c r="G17" s="146"/>
      <c r="H17" s="146"/>
      <c r="I17" s="146"/>
      <c r="J17" s="146"/>
      <c r="K17" s="146"/>
      <c r="L17" s="146"/>
      <c r="M17" s="146"/>
      <c r="N17" s="146"/>
      <c r="O17" s="146"/>
      <c r="P17" s="146"/>
    </row>
    <row r="18" spans="1:16" x14ac:dyDescent="0.3">
      <c r="A18" s="24" t="s">
        <v>120</v>
      </c>
      <c r="B18" s="8" t="s">
        <v>29</v>
      </c>
      <c r="C18" s="10" t="s">
        <v>121</v>
      </c>
      <c r="D18" s="8" t="s">
        <v>38</v>
      </c>
      <c r="E18" s="8" t="s">
        <v>13</v>
      </c>
      <c r="F18" s="11" t="s">
        <v>83</v>
      </c>
      <c r="G18" s="18" t="s">
        <v>32</v>
      </c>
      <c r="H18" s="115" t="s">
        <v>27</v>
      </c>
      <c r="I18" s="128"/>
      <c r="J18" s="128"/>
      <c r="K18" s="122"/>
      <c r="L18" s="135" t="s">
        <v>92</v>
      </c>
      <c r="M18" s="14" t="s">
        <v>85</v>
      </c>
      <c r="N18" s="8" t="s">
        <v>122</v>
      </c>
      <c r="O18" s="8" t="s">
        <v>123</v>
      </c>
      <c r="P18" s="8"/>
    </row>
    <row r="19" spans="1:16" x14ac:dyDescent="0.3">
      <c r="A19" s="75" t="s">
        <v>124</v>
      </c>
      <c r="B19" s="76" t="s">
        <v>915</v>
      </c>
      <c r="C19" s="35" t="s">
        <v>125</v>
      </c>
      <c r="D19" s="8" t="s">
        <v>38</v>
      </c>
      <c r="E19" s="8" t="s">
        <v>13</v>
      </c>
      <c r="F19" s="11" t="s">
        <v>83</v>
      </c>
      <c r="G19" s="12" t="s">
        <v>33</v>
      </c>
      <c r="H19" s="115" t="s">
        <v>27</v>
      </c>
      <c r="I19" s="128"/>
      <c r="J19" s="128"/>
      <c r="K19" s="122"/>
      <c r="L19" s="135" t="s">
        <v>92</v>
      </c>
      <c r="M19" s="14" t="s">
        <v>85</v>
      </c>
      <c r="N19" s="8" t="s">
        <v>86</v>
      </c>
      <c r="O19" s="8" t="s">
        <v>126</v>
      </c>
      <c r="P19" s="8" t="s">
        <v>742</v>
      </c>
    </row>
    <row r="20" spans="1:16" x14ac:dyDescent="0.3">
      <c r="A20" s="24" t="s">
        <v>127</v>
      </c>
      <c r="B20" s="8" t="s">
        <v>915</v>
      </c>
      <c r="C20" s="10" t="s">
        <v>128</v>
      </c>
      <c r="D20" s="8" t="s">
        <v>38</v>
      </c>
      <c r="E20" s="8" t="s">
        <v>13</v>
      </c>
      <c r="F20" s="11" t="s">
        <v>83</v>
      </c>
      <c r="G20" s="12" t="s">
        <v>33</v>
      </c>
      <c r="H20" s="118" t="s">
        <v>28</v>
      </c>
      <c r="I20" s="130"/>
      <c r="J20" s="130"/>
      <c r="K20" s="123"/>
      <c r="L20" s="135" t="s">
        <v>92</v>
      </c>
      <c r="M20" s="14" t="s">
        <v>85</v>
      </c>
      <c r="N20" s="8" t="s">
        <v>95</v>
      </c>
      <c r="O20" s="8" t="s">
        <v>129</v>
      </c>
      <c r="P20" s="8" t="s">
        <v>744</v>
      </c>
    </row>
    <row r="21" spans="1:16" ht="26.4" x14ac:dyDescent="0.3">
      <c r="A21" s="75" t="s">
        <v>130</v>
      </c>
      <c r="B21" s="76"/>
      <c r="C21" s="35" t="s">
        <v>131</v>
      </c>
      <c r="D21" s="8" t="s">
        <v>38</v>
      </c>
      <c r="E21" s="8" t="s">
        <v>13</v>
      </c>
      <c r="F21" s="11" t="s">
        <v>83</v>
      </c>
      <c r="G21" s="12" t="s">
        <v>33</v>
      </c>
      <c r="H21" s="115" t="s">
        <v>27</v>
      </c>
      <c r="I21" s="128" t="s">
        <v>913</v>
      </c>
      <c r="J21" s="128"/>
      <c r="K21" s="122" t="s">
        <v>916</v>
      </c>
      <c r="L21" s="135" t="s">
        <v>84</v>
      </c>
      <c r="M21" s="14" t="s">
        <v>85</v>
      </c>
      <c r="N21" s="8" t="s">
        <v>95</v>
      </c>
      <c r="O21" s="8" t="s">
        <v>87</v>
      </c>
      <c r="P21" s="8" t="s">
        <v>744</v>
      </c>
    </row>
    <row r="22" spans="1:16" ht="52.8" x14ac:dyDescent="0.3">
      <c r="A22" s="24" t="s">
        <v>132</v>
      </c>
      <c r="B22" s="8" t="s">
        <v>917</v>
      </c>
      <c r="C22" s="10" t="s">
        <v>133</v>
      </c>
      <c r="D22" s="8" t="s">
        <v>38</v>
      </c>
      <c r="E22" s="8" t="s">
        <v>13</v>
      </c>
      <c r="F22" s="11" t="s">
        <v>83</v>
      </c>
      <c r="G22" s="12" t="s">
        <v>33</v>
      </c>
      <c r="H22" s="115" t="s">
        <v>27</v>
      </c>
      <c r="I22" s="128"/>
      <c r="J22" s="128"/>
      <c r="K22" s="122"/>
      <c r="L22" s="135" t="s">
        <v>84</v>
      </c>
      <c r="M22" s="14" t="s">
        <v>85</v>
      </c>
      <c r="N22" s="8" t="s">
        <v>95</v>
      </c>
      <c r="O22" s="8" t="s">
        <v>87</v>
      </c>
      <c r="P22" s="28" t="s">
        <v>745</v>
      </c>
    </row>
    <row r="23" spans="1:16" ht="26.4" x14ac:dyDescent="0.3">
      <c r="A23" s="24" t="s">
        <v>134</v>
      </c>
      <c r="B23" s="8" t="s">
        <v>915</v>
      </c>
      <c r="C23" s="10" t="s">
        <v>135</v>
      </c>
      <c r="D23" s="8" t="s">
        <v>38</v>
      </c>
      <c r="E23" s="8" t="s">
        <v>13</v>
      </c>
      <c r="F23" s="11" t="s">
        <v>83</v>
      </c>
      <c r="G23" s="12" t="s">
        <v>33</v>
      </c>
      <c r="H23" s="115" t="s">
        <v>27</v>
      </c>
      <c r="I23" s="128"/>
      <c r="J23" s="128"/>
      <c r="K23" s="122"/>
      <c r="L23" s="135" t="s">
        <v>84</v>
      </c>
      <c r="M23" s="14" t="s">
        <v>85</v>
      </c>
      <c r="N23" s="8" t="s">
        <v>107</v>
      </c>
      <c r="O23" s="8" t="s">
        <v>107</v>
      </c>
      <c r="P23" s="8"/>
    </row>
    <row r="24" spans="1:16" ht="26.4" x14ac:dyDescent="0.3">
      <c r="A24" s="24" t="s">
        <v>136</v>
      </c>
      <c r="B24" s="8" t="s">
        <v>915</v>
      </c>
      <c r="C24" s="10" t="s">
        <v>137</v>
      </c>
      <c r="D24" s="8" t="s">
        <v>38</v>
      </c>
      <c r="E24" s="8" t="s">
        <v>13</v>
      </c>
      <c r="F24" s="11" t="s">
        <v>83</v>
      </c>
      <c r="G24" s="12" t="s">
        <v>33</v>
      </c>
      <c r="H24" s="119" t="s">
        <v>31</v>
      </c>
      <c r="I24" s="131"/>
      <c r="J24" s="131"/>
      <c r="K24" s="124"/>
      <c r="L24" s="135" t="s">
        <v>92</v>
      </c>
      <c r="M24" s="14" t="s">
        <v>85</v>
      </c>
      <c r="N24" s="8" t="s">
        <v>107</v>
      </c>
      <c r="O24" s="8" t="s">
        <v>138</v>
      </c>
      <c r="P24" s="8"/>
    </row>
    <row r="25" spans="1:16" ht="26.4" x14ac:dyDescent="0.3">
      <c r="A25" s="24" t="s">
        <v>139</v>
      </c>
      <c r="B25" s="8"/>
      <c r="C25" s="10" t="s">
        <v>140</v>
      </c>
      <c r="D25" s="8" t="s">
        <v>38</v>
      </c>
      <c r="E25" s="8" t="s">
        <v>13</v>
      </c>
      <c r="F25" s="11" t="s">
        <v>83</v>
      </c>
      <c r="G25" s="12" t="s">
        <v>33</v>
      </c>
      <c r="H25" s="115" t="s">
        <v>27</v>
      </c>
      <c r="I25" s="128"/>
      <c r="J25" s="128"/>
      <c r="K25" s="122"/>
      <c r="L25" s="135" t="s">
        <v>92</v>
      </c>
      <c r="M25" s="14" t="s">
        <v>84</v>
      </c>
      <c r="N25" s="8" t="s">
        <v>98</v>
      </c>
      <c r="O25" s="8" t="s">
        <v>87</v>
      </c>
      <c r="P25" s="8"/>
    </row>
    <row r="26" spans="1:16" ht="26.4" x14ac:dyDescent="0.3">
      <c r="A26" s="24" t="s">
        <v>141</v>
      </c>
      <c r="B26" s="8"/>
      <c r="C26" s="10" t="s">
        <v>142</v>
      </c>
      <c r="D26" s="8" t="s">
        <v>38</v>
      </c>
      <c r="E26" s="8" t="s">
        <v>13</v>
      </c>
      <c r="F26" s="11" t="s">
        <v>83</v>
      </c>
      <c r="G26" s="12" t="s">
        <v>33</v>
      </c>
      <c r="H26" s="115" t="s">
        <v>27</v>
      </c>
      <c r="I26" s="128"/>
      <c r="J26" s="128"/>
      <c r="K26" s="122"/>
      <c r="L26" s="135" t="s">
        <v>84</v>
      </c>
      <c r="M26" s="14" t="s">
        <v>84</v>
      </c>
      <c r="N26" s="8" t="s">
        <v>98</v>
      </c>
      <c r="O26" s="8" t="s">
        <v>87</v>
      </c>
      <c r="P26" s="8" t="s">
        <v>743</v>
      </c>
    </row>
    <row r="27" spans="1:16" x14ac:dyDescent="0.3">
      <c r="A27" s="75" t="s">
        <v>143</v>
      </c>
      <c r="B27" s="76" t="s">
        <v>917</v>
      </c>
      <c r="C27" s="35" t="s">
        <v>144</v>
      </c>
      <c r="D27" s="8" t="s">
        <v>38</v>
      </c>
      <c r="E27" s="8" t="s">
        <v>13</v>
      </c>
      <c r="F27" s="11" t="s">
        <v>83</v>
      </c>
      <c r="G27" s="12" t="s">
        <v>33</v>
      </c>
      <c r="H27" s="115" t="s">
        <v>27</v>
      </c>
      <c r="I27" s="128"/>
      <c r="J27" s="128"/>
      <c r="K27" s="122"/>
      <c r="L27" s="135" t="s">
        <v>92</v>
      </c>
      <c r="M27" s="14" t="s">
        <v>85</v>
      </c>
      <c r="N27" s="8" t="s">
        <v>145</v>
      </c>
      <c r="O27" s="8" t="s">
        <v>146</v>
      </c>
      <c r="P27" s="8" t="s">
        <v>746</v>
      </c>
    </row>
    <row r="28" spans="1:16" x14ac:dyDescent="0.3">
      <c r="A28" s="24" t="s">
        <v>147</v>
      </c>
      <c r="B28" s="8" t="s">
        <v>915</v>
      </c>
      <c r="C28" s="10" t="s">
        <v>148</v>
      </c>
      <c r="D28" s="8" t="s">
        <v>38</v>
      </c>
      <c r="E28" s="8" t="s">
        <v>13</v>
      </c>
      <c r="F28" s="11" t="s">
        <v>83</v>
      </c>
      <c r="G28" s="12" t="s">
        <v>33</v>
      </c>
      <c r="H28" s="115" t="s">
        <v>27</v>
      </c>
      <c r="I28" s="128"/>
      <c r="J28" s="128"/>
      <c r="K28" s="122"/>
      <c r="L28" s="135" t="s">
        <v>92</v>
      </c>
      <c r="M28" s="14" t="s">
        <v>85</v>
      </c>
      <c r="N28" s="8" t="s">
        <v>149</v>
      </c>
      <c r="O28" s="8" t="s">
        <v>150</v>
      </c>
      <c r="P28" s="8"/>
    </row>
    <row r="29" spans="1:16" ht="15" customHeight="1" x14ac:dyDescent="0.3">
      <c r="A29" s="146" t="s">
        <v>691</v>
      </c>
      <c r="B29" s="146"/>
      <c r="C29" s="146"/>
      <c r="D29" s="146"/>
      <c r="E29" s="146"/>
      <c r="F29" s="146"/>
      <c r="G29" s="146"/>
      <c r="H29" s="146"/>
      <c r="I29" s="146"/>
      <c r="J29" s="146"/>
      <c r="K29" s="146"/>
      <c r="L29" s="146"/>
      <c r="M29" s="146"/>
      <c r="N29" s="146"/>
      <c r="O29" s="146"/>
      <c r="P29" s="146"/>
    </row>
    <row r="30" spans="1:16" ht="26.4" x14ac:dyDescent="0.3">
      <c r="A30" s="75" t="s">
        <v>151</v>
      </c>
      <c r="B30" s="76" t="s">
        <v>100</v>
      </c>
      <c r="C30" s="35" t="s">
        <v>152</v>
      </c>
      <c r="D30" s="8" t="s">
        <v>38</v>
      </c>
      <c r="E30" s="8" t="s">
        <v>41</v>
      </c>
      <c r="F30" s="11" t="s">
        <v>83</v>
      </c>
      <c r="G30" s="18" t="s">
        <v>32</v>
      </c>
      <c r="H30" s="115" t="s">
        <v>27</v>
      </c>
      <c r="I30" s="128" t="s">
        <v>913</v>
      </c>
      <c r="J30" s="147" t="s">
        <v>918</v>
      </c>
      <c r="K30" s="148"/>
      <c r="L30" s="135" t="s">
        <v>84</v>
      </c>
      <c r="M30" s="14" t="s">
        <v>85</v>
      </c>
      <c r="N30" s="8" t="s">
        <v>153</v>
      </c>
      <c r="O30" s="8" t="s">
        <v>153</v>
      </c>
      <c r="P30" s="8"/>
    </row>
    <row r="31" spans="1:16" ht="26.4" x14ac:dyDescent="0.3">
      <c r="A31" s="24" t="s">
        <v>154</v>
      </c>
      <c r="B31" s="8"/>
      <c r="C31" s="10" t="s">
        <v>747</v>
      </c>
      <c r="D31" s="8" t="s">
        <v>38</v>
      </c>
      <c r="E31" s="8" t="s">
        <v>41</v>
      </c>
      <c r="F31" s="11" t="s">
        <v>83</v>
      </c>
      <c r="G31" s="12" t="s">
        <v>33</v>
      </c>
      <c r="H31" s="115" t="s">
        <v>27</v>
      </c>
      <c r="I31" s="128" t="s">
        <v>913</v>
      </c>
      <c r="J31" s="128" t="s">
        <v>914</v>
      </c>
      <c r="K31" s="122" t="s">
        <v>910</v>
      </c>
      <c r="L31" s="135" t="s">
        <v>84</v>
      </c>
      <c r="M31" s="14" t="s">
        <v>85</v>
      </c>
      <c r="N31" s="8" t="s">
        <v>145</v>
      </c>
      <c r="O31" s="8" t="s">
        <v>145</v>
      </c>
      <c r="P31" s="8"/>
    </row>
    <row r="32" spans="1:16" ht="26.4" x14ac:dyDescent="0.3">
      <c r="A32" s="24" t="s">
        <v>156</v>
      </c>
      <c r="B32" s="8"/>
      <c r="C32" s="10" t="s">
        <v>157</v>
      </c>
      <c r="D32" s="8" t="s">
        <v>38</v>
      </c>
      <c r="E32" s="8" t="s">
        <v>41</v>
      </c>
      <c r="F32" s="11" t="s">
        <v>83</v>
      </c>
      <c r="G32" s="12" t="s">
        <v>33</v>
      </c>
      <c r="H32" s="115" t="s">
        <v>27</v>
      </c>
      <c r="I32" s="128"/>
      <c r="J32" s="128" t="s">
        <v>914</v>
      </c>
      <c r="K32" s="122" t="s">
        <v>910</v>
      </c>
      <c r="L32" s="135" t="s">
        <v>84</v>
      </c>
      <c r="M32" s="14" t="s">
        <v>85</v>
      </c>
      <c r="N32" s="8" t="s">
        <v>158</v>
      </c>
      <c r="O32" s="8" t="s">
        <v>158</v>
      </c>
      <c r="P32" s="8"/>
    </row>
    <row r="33" spans="1:16" ht="26.4" x14ac:dyDescent="0.3">
      <c r="A33" s="24" t="s">
        <v>159</v>
      </c>
      <c r="B33" s="8"/>
      <c r="C33" s="10" t="s">
        <v>160</v>
      </c>
      <c r="D33" s="8" t="s">
        <v>38</v>
      </c>
      <c r="E33" s="8" t="s">
        <v>41</v>
      </c>
      <c r="F33" s="11" t="s">
        <v>83</v>
      </c>
      <c r="G33" s="12" t="s">
        <v>33</v>
      </c>
      <c r="H33" s="115" t="s">
        <v>27</v>
      </c>
      <c r="J33" s="134" t="s">
        <v>154</v>
      </c>
      <c r="K33" s="122"/>
      <c r="L33" s="135" t="s">
        <v>84</v>
      </c>
      <c r="M33" s="14" t="s">
        <v>85</v>
      </c>
      <c r="N33" s="8" t="s">
        <v>161</v>
      </c>
      <c r="O33" s="8" t="s">
        <v>161</v>
      </c>
      <c r="P33" s="8"/>
    </row>
    <row r="34" spans="1:16" ht="15" customHeight="1" x14ac:dyDescent="0.3">
      <c r="A34" s="146" t="s">
        <v>692</v>
      </c>
      <c r="B34" s="146"/>
      <c r="C34" s="146"/>
      <c r="D34" s="146"/>
      <c r="E34" s="146"/>
      <c r="F34" s="146"/>
      <c r="G34" s="146"/>
      <c r="H34" s="146"/>
      <c r="I34" s="146"/>
      <c r="J34" s="146"/>
      <c r="K34" s="146"/>
      <c r="L34" s="146"/>
      <c r="M34" s="146"/>
      <c r="N34" s="146"/>
      <c r="O34" s="146"/>
      <c r="P34" s="146"/>
    </row>
    <row r="35" spans="1:16" x14ac:dyDescent="0.3">
      <c r="A35" s="116" t="s">
        <v>162</v>
      </c>
      <c r="B35" s="8" t="s">
        <v>163</v>
      </c>
      <c r="C35" s="10" t="s">
        <v>164</v>
      </c>
      <c r="D35" s="8" t="s">
        <v>38</v>
      </c>
      <c r="E35" s="8" t="s">
        <v>42</v>
      </c>
      <c r="F35" s="11" t="s">
        <v>83</v>
      </c>
      <c r="G35" s="18" t="s">
        <v>32</v>
      </c>
      <c r="H35" s="115" t="s">
        <v>27</v>
      </c>
      <c r="I35" s="128"/>
      <c r="J35" s="128"/>
      <c r="K35" s="122"/>
      <c r="L35" s="135" t="s">
        <v>92</v>
      </c>
      <c r="M35" s="14" t="s">
        <v>85</v>
      </c>
      <c r="N35" s="8" t="s">
        <v>165</v>
      </c>
      <c r="O35" s="8" t="s">
        <v>166</v>
      </c>
      <c r="P35" s="8" t="s">
        <v>167</v>
      </c>
    </row>
    <row r="36" spans="1:16" ht="26.4" x14ac:dyDescent="0.3">
      <c r="A36" s="116" t="s">
        <v>168</v>
      </c>
      <c r="B36" s="8" t="s">
        <v>163</v>
      </c>
      <c r="C36" s="10" t="s">
        <v>169</v>
      </c>
      <c r="D36" s="8" t="s">
        <v>38</v>
      </c>
      <c r="E36" s="8" t="s">
        <v>42</v>
      </c>
      <c r="F36" s="11" t="s">
        <v>83</v>
      </c>
      <c r="G36" s="18" t="s">
        <v>32</v>
      </c>
      <c r="H36" s="115" t="s">
        <v>27</v>
      </c>
      <c r="I36" s="128"/>
      <c r="J36" s="128"/>
      <c r="K36" s="122"/>
      <c r="L36" s="135" t="s">
        <v>115</v>
      </c>
      <c r="M36" s="14" t="s">
        <v>85</v>
      </c>
      <c r="N36" s="8" t="s">
        <v>170</v>
      </c>
      <c r="O36" s="8" t="s">
        <v>166</v>
      </c>
      <c r="P36" s="8" t="s">
        <v>171</v>
      </c>
    </row>
    <row r="37" spans="1:16" ht="26.4" x14ac:dyDescent="0.3">
      <c r="A37" s="24" t="s">
        <v>172</v>
      </c>
      <c r="B37" s="8" t="s">
        <v>163</v>
      </c>
      <c r="C37" s="10" t="s">
        <v>173</v>
      </c>
      <c r="D37" s="8" t="s">
        <v>38</v>
      </c>
      <c r="E37" s="8" t="s">
        <v>42</v>
      </c>
      <c r="F37" s="11" t="s">
        <v>83</v>
      </c>
      <c r="G37" s="12" t="s">
        <v>33</v>
      </c>
      <c r="H37" s="115" t="s">
        <v>27</v>
      </c>
      <c r="I37" s="128" t="s">
        <v>914</v>
      </c>
      <c r="J37" s="128"/>
      <c r="K37" s="122" t="s">
        <v>911</v>
      </c>
      <c r="L37" s="135" t="s">
        <v>115</v>
      </c>
      <c r="M37" s="14" t="s">
        <v>85</v>
      </c>
      <c r="N37" s="8" t="s">
        <v>174</v>
      </c>
      <c r="O37" s="8" t="s">
        <v>175</v>
      </c>
      <c r="P37" s="8" t="s">
        <v>176</v>
      </c>
    </row>
    <row r="38" spans="1:16" ht="15" customHeight="1" x14ac:dyDescent="0.3">
      <c r="A38" s="146" t="s">
        <v>693</v>
      </c>
      <c r="B38" s="146"/>
      <c r="C38" s="146"/>
      <c r="D38" s="146"/>
      <c r="E38" s="146"/>
      <c r="F38" s="146"/>
      <c r="G38" s="146"/>
      <c r="H38" s="146"/>
      <c r="I38" s="146"/>
      <c r="J38" s="146"/>
      <c r="K38" s="146"/>
      <c r="L38" s="146"/>
      <c r="M38" s="146"/>
      <c r="N38" s="146"/>
      <c r="O38" s="146"/>
      <c r="P38" s="146"/>
    </row>
    <row r="39" spans="1:16" ht="26.4" x14ac:dyDescent="0.3">
      <c r="A39" s="114" t="s">
        <v>177</v>
      </c>
      <c r="B39" s="76" t="s">
        <v>100</v>
      </c>
      <c r="C39" s="35" t="s">
        <v>178</v>
      </c>
      <c r="D39" s="8" t="s">
        <v>38</v>
      </c>
      <c r="E39" s="8" t="s">
        <v>43</v>
      </c>
      <c r="F39" s="15" t="s">
        <v>37</v>
      </c>
      <c r="G39" s="12" t="s">
        <v>33</v>
      </c>
      <c r="H39" s="115" t="s">
        <v>27</v>
      </c>
      <c r="I39" s="128"/>
      <c r="J39" s="128"/>
      <c r="K39" s="122"/>
      <c r="L39" s="135" t="s">
        <v>92</v>
      </c>
      <c r="M39" s="14" t="s">
        <v>85</v>
      </c>
      <c r="N39" s="8" t="s">
        <v>179</v>
      </c>
      <c r="O39" s="8" t="s">
        <v>180</v>
      </c>
      <c r="P39" s="8" t="s">
        <v>181</v>
      </c>
    </row>
    <row r="40" spans="1:16" ht="26.4" x14ac:dyDescent="0.3">
      <c r="A40" s="114" t="s">
        <v>182</v>
      </c>
      <c r="B40" s="8"/>
      <c r="C40" s="10" t="s">
        <v>183</v>
      </c>
      <c r="D40" s="8" t="s">
        <v>38</v>
      </c>
      <c r="E40" s="8" t="s">
        <v>43</v>
      </c>
      <c r="F40" s="11" t="s">
        <v>83</v>
      </c>
      <c r="G40" s="12" t="s">
        <v>33</v>
      </c>
      <c r="H40" s="115" t="s">
        <v>27</v>
      </c>
      <c r="I40" s="128"/>
      <c r="J40" s="128"/>
      <c r="K40" s="122"/>
      <c r="L40" s="135" t="s">
        <v>84</v>
      </c>
      <c r="M40" s="14" t="s">
        <v>85</v>
      </c>
      <c r="N40" s="8" t="s">
        <v>86</v>
      </c>
      <c r="O40" s="8" t="s">
        <v>86</v>
      </c>
      <c r="P40" s="8"/>
    </row>
    <row r="41" spans="1:16" ht="26.4" x14ac:dyDescent="0.3">
      <c r="A41" s="24" t="s">
        <v>184</v>
      </c>
      <c r="B41" s="8"/>
      <c r="C41" s="10" t="s">
        <v>185</v>
      </c>
      <c r="D41" s="8" t="s">
        <v>38</v>
      </c>
      <c r="E41" s="8" t="s">
        <v>43</v>
      </c>
      <c r="F41" s="11" t="s">
        <v>83</v>
      </c>
      <c r="G41" s="12" t="s">
        <v>33</v>
      </c>
      <c r="H41" s="115" t="s">
        <v>27</v>
      </c>
      <c r="I41" s="128"/>
      <c r="J41" s="128"/>
      <c r="K41" s="122"/>
      <c r="L41" s="135" t="s">
        <v>92</v>
      </c>
      <c r="M41" s="14" t="s">
        <v>84</v>
      </c>
      <c r="N41" s="8" t="s">
        <v>98</v>
      </c>
      <c r="O41" s="8" t="s">
        <v>87</v>
      </c>
      <c r="P41" s="8"/>
    </row>
    <row r="42" spans="1:16" ht="26.4" x14ac:dyDescent="0.3">
      <c r="A42" s="24" t="s">
        <v>186</v>
      </c>
      <c r="B42" s="8" t="s">
        <v>163</v>
      </c>
      <c r="C42" s="10" t="s">
        <v>187</v>
      </c>
      <c r="D42" s="8" t="s">
        <v>38</v>
      </c>
      <c r="E42" s="8" t="s">
        <v>43</v>
      </c>
      <c r="F42" s="11" t="s">
        <v>83</v>
      </c>
      <c r="G42" s="15" t="s">
        <v>35</v>
      </c>
      <c r="H42" s="115" t="s">
        <v>27</v>
      </c>
      <c r="I42" s="128"/>
      <c r="J42" s="128"/>
      <c r="K42" s="122"/>
      <c r="L42" s="135"/>
      <c r="M42" s="14" t="s">
        <v>188</v>
      </c>
      <c r="N42" s="8" t="s">
        <v>189</v>
      </c>
      <c r="O42" s="8" t="s">
        <v>166</v>
      </c>
      <c r="P42" s="8" t="s">
        <v>190</v>
      </c>
    </row>
    <row r="44" spans="1:16" s="37" customFormat="1" ht="15.6" x14ac:dyDescent="0.3">
      <c r="A44" s="36" t="s">
        <v>723</v>
      </c>
      <c r="I44" s="132"/>
      <c r="J44" s="132"/>
      <c r="K44" s="125"/>
    </row>
    <row r="45" spans="1:16" s="54" customFormat="1" ht="15.6" x14ac:dyDescent="0.3">
      <c r="A45" s="53"/>
      <c r="C45" s="55" t="s">
        <v>806</v>
      </c>
      <c r="D45" s="55" t="s">
        <v>24</v>
      </c>
      <c r="I45" s="133"/>
      <c r="J45" s="133"/>
      <c r="K45" s="126"/>
    </row>
    <row r="46" spans="1:16" x14ac:dyDescent="0.3">
      <c r="B46" s="38"/>
      <c r="C46" s="92" t="s">
        <v>877</v>
      </c>
      <c r="D46" s="93"/>
    </row>
    <row r="47" spans="1:16" x14ac:dyDescent="0.3">
      <c r="B47" s="71">
        <v>46223</v>
      </c>
      <c r="C47" s="57" t="s">
        <v>840</v>
      </c>
      <c r="D47" s="57" t="s">
        <v>876</v>
      </c>
      <c r="E47" t="s">
        <v>839</v>
      </c>
    </row>
    <row r="48" spans="1:16" ht="26.4" x14ac:dyDescent="0.3">
      <c r="A48" s="25" t="s">
        <v>177</v>
      </c>
      <c r="B48" s="71">
        <v>46223</v>
      </c>
      <c r="C48" s="65" t="s">
        <v>178</v>
      </c>
      <c r="D48" s="57" t="s">
        <v>876</v>
      </c>
    </row>
    <row r="49" spans="1:11" x14ac:dyDescent="0.3">
      <c r="B49" s="38"/>
      <c r="C49" s="96" t="s">
        <v>809</v>
      </c>
      <c r="D49" s="45" t="s">
        <v>876</v>
      </c>
    </row>
    <row r="50" spans="1:11" x14ac:dyDescent="0.3">
      <c r="B50" s="38" t="s">
        <v>920</v>
      </c>
      <c r="C50" s="68" t="s">
        <v>861</v>
      </c>
      <c r="D50" s="45" t="s">
        <v>876</v>
      </c>
    </row>
    <row r="51" spans="1:11" x14ac:dyDescent="0.3">
      <c r="B51" s="137" t="s">
        <v>921</v>
      </c>
      <c r="C51" s="45" t="s">
        <v>832</v>
      </c>
      <c r="D51" s="45" t="s">
        <v>876</v>
      </c>
    </row>
    <row r="52" spans="1:11" x14ac:dyDescent="0.3">
      <c r="B52" s="38" t="s">
        <v>922</v>
      </c>
      <c r="C52" s="45" t="s">
        <v>836</v>
      </c>
      <c r="D52" s="45" t="s">
        <v>876</v>
      </c>
    </row>
    <row r="53" spans="1:11" x14ac:dyDescent="0.3">
      <c r="B53" s="136" t="s">
        <v>860</v>
      </c>
      <c r="C53" s="57" t="s">
        <v>780</v>
      </c>
      <c r="D53" s="57"/>
      <c r="E53" t="s">
        <v>850</v>
      </c>
    </row>
    <row r="54" spans="1:11" x14ac:dyDescent="0.3">
      <c r="B54" s="38" t="s">
        <v>923</v>
      </c>
      <c r="C54" s="57" t="s">
        <v>758</v>
      </c>
      <c r="D54" s="56" t="s">
        <v>759</v>
      </c>
    </row>
    <row r="55" spans="1:11" s="54" customFormat="1" ht="15.6" x14ac:dyDescent="0.3">
      <c r="A55" s="53"/>
      <c r="C55" s="55"/>
      <c r="D55" s="55"/>
      <c r="I55" s="133"/>
      <c r="J55" s="133"/>
      <c r="K55" s="126"/>
    </row>
    <row r="56" spans="1:11" s="54" customFormat="1" ht="15.6" x14ac:dyDescent="0.3">
      <c r="A56" s="53"/>
      <c r="B56" s="78"/>
      <c r="C56" s="86" t="s">
        <v>805</v>
      </c>
      <c r="D56" s="86"/>
      <c r="I56" s="133"/>
      <c r="J56" s="133"/>
      <c r="K56" s="126"/>
    </row>
    <row r="57" spans="1:11" x14ac:dyDescent="0.3">
      <c r="B57" s="136" t="s">
        <v>919</v>
      </c>
      <c r="C57" s="57" t="s">
        <v>785</v>
      </c>
      <c r="D57" s="56" t="s">
        <v>786</v>
      </c>
      <c r="E57" s="77" t="s">
        <v>753</v>
      </c>
    </row>
    <row r="58" spans="1:11" ht="28.8" customHeight="1" x14ac:dyDescent="0.3">
      <c r="B58" s="38"/>
      <c r="C58" s="59" t="s">
        <v>803</v>
      </c>
      <c r="D58" s="60" t="s">
        <v>786</v>
      </c>
    </row>
    <row r="59" spans="1:11" x14ac:dyDescent="0.3">
      <c r="B59" s="136" t="s">
        <v>845</v>
      </c>
      <c r="C59" s="57" t="s">
        <v>878</v>
      </c>
      <c r="D59" s="56" t="s">
        <v>741</v>
      </c>
      <c r="E59" s="73" t="s">
        <v>831</v>
      </c>
    </row>
    <row r="60" spans="1:11" x14ac:dyDescent="0.3">
      <c r="A60" s="25" t="s">
        <v>924</v>
      </c>
      <c r="B60" s="71">
        <v>46223</v>
      </c>
      <c r="C60" s="57" t="s">
        <v>837</v>
      </c>
      <c r="D60" s="56"/>
      <c r="E60" s="145" t="s">
        <v>926</v>
      </c>
    </row>
    <row r="61" spans="1:11" ht="28.8" x14ac:dyDescent="0.3">
      <c r="A61" s="25" t="s">
        <v>925</v>
      </c>
      <c r="B61" s="71">
        <v>46223</v>
      </c>
      <c r="C61" s="57" t="s">
        <v>838</v>
      </c>
      <c r="D61" s="56"/>
      <c r="E61" s="145"/>
    </row>
    <row r="62" spans="1:11" x14ac:dyDescent="0.3">
      <c r="B62" s="71"/>
      <c r="C62" s="27"/>
      <c r="D62" s="26"/>
    </row>
    <row r="63" spans="1:11" ht="15.6" x14ac:dyDescent="0.3">
      <c r="B63" s="38"/>
      <c r="C63" s="94" t="s">
        <v>807</v>
      </c>
      <c r="D63" s="82"/>
    </row>
    <row r="64" spans="1:11" x14ac:dyDescent="0.3">
      <c r="B64" s="136" t="s">
        <v>844</v>
      </c>
      <c r="C64" s="57" t="s">
        <v>748</v>
      </c>
      <c r="D64" s="56" t="s">
        <v>749</v>
      </c>
    </row>
    <row r="65" spans="1:6" ht="28.8" x14ac:dyDescent="0.3">
      <c r="B65" s="136" t="s">
        <v>846</v>
      </c>
      <c r="C65" s="57" t="s">
        <v>750</v>
      </c>
      <c r="D65" s="56" t="s">
        <v>749</v>
      </c>
    </row>
    <row r="66" spans="1:6" x14ac:dyDescent="0.3">
      <c r="B66" s="71"/>
      <c r="C66" s="27"/>
      <c r="D66" s="26"/>
    </row>
    <row r="67" spans="1:6" ht="15.6" x14ac:dyDescent="0.3">
      <c r="B67" s="38"/>
      <c r="C67" s="94" t="s">
        <v>804</v>
      </c>
      <c r="D67" s="82"/>
    </row>
    <row r="68" spans="1:6" x14ac:dyDescent="0.3">
      <c r="B68" s="136" t="s">
        <v>847</v>
      </c>
      <c r="C68" s="56" t="s">
        <v>752</v>
      </c>
      <c r="D68" s="56" t="s">
        <v>724</v>
      </c>
      <c r="F68" t="s">
        <v>830</v>
      </c>
    </row>
    <row r="69" spans="1:6" x14ac:dyDescent="0.3">
      <c r="B69" s="136" t="s">
        <v>848</v>
      </c>
      <c r="C69" s="45" t="s">
        <v>725</v>
      </c>
      <c r="D69" s="56" t="s">
        <v>724</v>
      </c>
    </row>
    <row r="70" spans="1:6" x14ac:dyDescent="0.3">
      <c r="B70" s="136" t="s">
        <v>849</v>
      </c>
      <c r="C70" s="45" t="s">
        <v>727</v>
      </c>
      <c r="D70" s="56" t="s">
        <v>724</v>
      </c>
      <c r="E70" t="s">
        <v>850</v>
      </c>
    </row>
    <row r="71" spans="1:6" ht="28.8" x14ac:dyDescent="0.3">
      <c r="B71" s="136" t="s">
        <v>851</v>
      </c>
      <c r="C71" s="57" t="s">
        <v>734</v>
      </c>
      <c r="D71" s="56" t="s">
        <v>724</v>
      </c>
      <c r="E71" t="s">
        <v>850</v>
      </c>
    </row>
    <row r="72" spans="1:6" x14ac:dyDescent="0.3">
      <c r="B72" s="136" t="s">
        <v>852</v>
      </c>
      <c r="C72" s="45" t="s">
        <v>728</v>
      </c>
      <c r="D72" s="56" t="s">
        <v>724</v>
      </c>
      <c r="E72" t="s">
        <v>850</v>
      </c>
    </row>
    <row r="73" spans="1:6" x14ac:dyDescent="0.3">
      <c r="B73" s="136" t="s">
        <v>853</v>
      </c>
      <c r="C73" s="45" t="s">
        <v>729</v>
      </c>
      <c r="D73" s="56" t="s">
        <v>724</v>
      </c>
    </row>
    <row r="74" spans="1:6" x14ac:dyDescent="0.3">
      <c r="B74" s="38"/>
      <c r="C74" s="45" t="s">
        <v>730</v>
      </c>
      <c r="D74" s="56" t="s">
        <v>724</v>
      </c>
    </row>
    <row r="75" spans="1:6" x14ac:dyDescent="0.3">
      <c r="B75" s="38"/>
      <c r="C75" s="45" t="s">
        <v>751</v>
      </c>
      <c r="D75" s="56" t="s">
        <v>724</v>
      </c>
    </row>
    <row r="76" spans="1:6" x14ac:dyDescent="0.3">
      <c r="B76" s="38"/>
      <c r="C76" s="57" t="s">
        <v>773</v>
      </c>
      <c r="D76" s="56" t="s">
        <v>724</v>
      </c>
    </row>
    <row r="77" spans="1:6" ht="15.6" x14ac:dyDescent="0.3">
      <c r="B77" s="38"/>
      <c r="C77" s="94" t="s">
        <v>808</v>
      </c>
      <c r="D77" s="82"/>
    </row>
    <row r="78" spans="1:6" ht="26.4" x14ac:dyDescent="0.3">
      <c r="A78" s="25" t="s">
        <v>927</v>
      </c>
      <c r="B78" s="38" t="s">
        <v>854</v>
      </c>
      <c r="C78" s="45" t="s">
        <v>733</v>
      </c>
      <c r="D78" s="58" t="s">
        <v>737</v>
      </c>
    </row>
    <row r="79" spans="1:6" ht="28.8" x14ac:dyDescent="0.3">
      <c r="B79" s="136" t="s">
        <v>855</v>
      </c>
      <c r="C79" s="57" t="s">
        <v>735</v>
      </c>
      <c r="D79" s="58" t="s">
        <v>737</v>
      </c>
      <c r="E79" t="s">
        <v>850</v>
      </c>
    </row>
    <row r="80" spans="1:6" ht="57.6" x14ac:dyDescent="0.3">
      <c r="B80" s="136" t="s">
        <v>856</v>
      </c>
      <c r="C80" s="57" t="s">
        <v>736</v>
      </c>
      <c r="D80" s="58" t="s">
        <v>737</v>
      </c>
      <c r="E80" t="s">
        <v>850</v>
      </c>
    </row>
    <row r="81" spans="2:5" ht="43.2" x14ac:dyDescent="0.3">
      <c r="B81" s="136" t="s">
        <v>857</v>
      </c>
      <c r="C81" s="57" t="s">
        <v>738</v>
      </c>
      <c r="D81" s="58" t="s">
        <v>737</v>
      </c>
      <c r="E81" t="s">
        <v>850</v>
      </c>
    </row>
    <row r="82" spans="2:5" ht="26.4" x14ac:dyDescent="0.3">
      <c r="B82" s="136" t="s">
        <v>858</v>
      </c>
      <c r="C82" s="57" t="s">
        <v>739</v>
      </c>
      <c r="D82" s="58" t="s">
        <v>737</v>
      </c>
      <c r="E82" t="s">
        <v>850</v>
      </c>
    </row>
    <row r="83" spans="2:5" ht="26.4" x14ac:dyDescent="0.3">
      <c r="B83" s="136" t="s">
        <v>859</v>
      </c>
      <c r="C83" s="57" t="s">
        <v>740</v>
      </c>
      <c r="D83" s="58" t="s">
        <v>737</v>
      </c>
      <c r="E83" t="s">
        <v>850</v>
      </c>
    </row>
    <row r="84" spans="2:5" x14ac:dyDescent="0.3">
      <c r="B84" s="38"/>
    </row>
    <row r="85" spans="2:5" x14ac:dyDescent="0.3">
      <c r="B85" s="38"/>
    </row>
  </sheetData>
  <sortState xmlns:xlrd2="http://schemas.microsoft.com/office/spreadsheetml/2017/richdata2" ref="C57:D83">
    <sortCondition ref="D57:D83"/>
  </sortState>
  <mergeCells count="9">
    <mergeCell ref="E60:E61"/>
    <mergeCell ref="A34:P34"/>
    <mergeCell ref="A38:P38"/>
    <mergeCell ref="A1:P1"/>
    <mergeCell ref="A4:P4"/>
    <mergeCell ref="A11:P11"/>
    <mergeCell ref="A17:P17"/>
    <mergeCell ref="A29:P29"/>
    <mergeCell ref="J30:K30"/>
  </mergeCells>
  <phoneticPr fontId="23"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19"/>
  <sheetViews>
    <sheetView showGridLines="0" zoomScale="90" zoomScaleNormal="90" workbookViewId="0">
      <pane ySplit="3" topLeftCell="A91" activePane="bottomLeft" state="frozen"/>
      <selection pane="bottomLeft" activeCell="A99" sqref="A99"/>
    </sheetView>
  </sheetViews>
  <sheetFormatPr defaultColWidth="8.6640625" defaultRowHeight="14.4" x14ac:dyDescent="0.3"/>
  <cols>
    <col min="1" max="1" width="11" customWidth="1"/>
    <col min="2" max="2" width="15.5546875" customWidth="1"/>
    <col min="3" max="3" width="62" customWidth="1"/>
    <col min="4" max="4" width="18" customWidth="1"/>
    <col min="5" max="5" width="24" customWidth="1"/>
    <col min="6" max="6" width="7" customWidth="1"/>
    <col min="7" max="7" width="10" customWidth="1"/>
    <col min="8" max="9" width="20" customWidth="1"/>
    <col min="10" max="10" width="18" customWidth="1"/>
    <col min="11" max="12" width="12" customWidth="1"/>
    <col min="13" max="13" width="22" customWidth="1"/>
  </cols>
  <sheetData>
    <row r="1" spans="1:13" ht="24" customHeight="1" x14ac:dyDescent="0.3">
      <c r="A1" s="144" t="s">
        <v>694</v>
      </c>
      <c r="B1" s="144"/>
      <c r="C1" s="144"/>
      <c r="D1" s="144"/>
      <c r="E1" s="144"/>
      <c r="F1" s="144"/>
      <c r="G1" s="144"/>
      <c r="H1" s="144"/>
      <c r="I1" s="144"/>
      <c r="J1" s="144"/>
      <c r="K1" s="144"/>
      <c r="L1" s="144"/>
      <c r="M1" s="144"/>
    </row>
    <row r="3" spans="1:13" x14ac:dyDescent="0.3">
      <c r="A3" s="2" t="s">
        <v>70</v>
      </c>
      <c r="B3" s="2" t="s">
        <v>71</v>
      </c>
      <c r="C3" s="2" t="s">
        <v>72</v>
      </c>
      <c r="D3" s="2" t="s">
        <v>24</v>
      </c>
      <c r="E3" s="2" t="s">
        <v>25</v>
      </c>
      <c r="F3" s="2" t="s">
        <v>73</v>
      </c>
      <c r="G3" s="2" t="s">
        <v>74</v>
      </c>
      <c r="H3" s="2" t="s">
        <v>75</v>
      </c>
      <c r="I3" s="2" t="s">
        <v>76</v>
      </c>
      <c r="J3" s="2" t="s">
        <v>77</v>
      </c>
      <c r="K3" s="2" t="s">
        <v>78</v>
      </c>
      <c r="L3" s="2" t="s">
        <v>79</v>
      </c>
      <c r="M3" s="2" t="s">
        <v>80</v>
      </c>
    </row>
    <row r="4" spans="1:13" ht="15" customHeight="1" x14ac:dyDescent="0.3">
      <c r="A4" s="146" t="s">
        <v>695</v>
      </c>
      <c r="B4" s="146"/>
      <c r="C4" s="146"/>
      <c r="D4" s="146"/>
      <c r="E4" s="146"/>
      <c r="F4" s="146"/>
      <c r="G4" s="146"/>
      <c r="H4" s="146"/>
      <c r="I4" s="146"/>
      <c r="J4" s="146"/>
      <c r="K4" s="146"/>
      <c r="L4" s="146"/>
      <c r="M4" s="146"/>
    </row>
    <row r="5" spans="1:13" ht="26.4" x14ac:dyDescent="0.3">
      <c r="A5" s="8" t="s">
        <v>191</v>
      </c>
      <c r="B5" s="8" t="s">
        <v>163</v>
      </c>
      <c r="C5" s="10" t="s">
        <v>192</v>
      </c>
      <c r="D5" s="8" t="s">
        <v>44</v>
      </c>
      <c r="E5" s="8" t="s">
        <v>45</v>
      </c>
      <c r="F5" s="11" t="s">
        <v>83</v>
      </c>
      <c r="G5" s="18" t="s">
        <v>32</v>
      </c>
      <c r="H5" s="12" t="s">
        <v>31</v>
      </c>
      <c r="I5" s="14" t="s">
        <v>92</v>
      </c>
      <c r="J5" s="14" t="s">
        <v>85</v>
      </c>
      <c r="K5" s="8" t="s">
        <v>193</v>
      </c>
      <c r="L5" s="8" t="s">
        <v>194</v>
      </c>
      <c r="M5" s="8"/>
    </row>
    <row r="6" spans="1:13" ht="26.4" x14ac:dyDescent="0.3">
      <c r="A6" s="8" t="s">
        <v>195</v>
      </c>
      <c r="B6" s="8" t="s">
        <v>100</v>
      </c>
      <c r="C6" s="10" t="s">
        <v>196</v>
      </c>
      <c r="D6" s="8" t="s">
        <v>44</v>
      </c>
      <c r="E6" s="8" t="s">
        <v>45</v>
      </c>
      <c r="F6" s="11" t="s">
        <v>83</v>
      </c>
      <c r="G6" s="12" t="s">
        <v>33</v>
      </c>
      <c r="H6" s="13" t="s">
        <v>27</v>
      </c>
      <c r="I6" s="14" t="s">
        <v>115</v>
      </c>
      <c r="J6" s="14" t="s">
        <v>85</v>
      </c>
      <c r="K6" s="8" t="s">
        <v>197</v>
      </c>
      <c r="L6" s="8" t="s">
        <v>197</v>
      </c>
      <c r="M6" s="8" t="s">
        <v>198</v>
      </c>
    </row>
    <row r="7" spans="1:13" ht="26.4" x14ac:dyDescent="0.3">
      <c r="A7" s="8" t="s">
        <v>199</v>
      </c>
      <c r="B7" s="8"/>
      <c r="C7" s="29" t="s">
        <v>200</v>
      </c>
      <c r="D7" s="8" t="s">
        <v>44</v>
      </c>
      <c r="E7" s="8" t="s">
        <v>45</v>
      </c>
      <c r="F7" s="11" t="s">
        <v>83</v>
      </c>
      <c r="G7" s="12" t="s">
        <v>33</v>
      </c>
      <c r="H7" s="13" t="s">
        <v>27</v>
      </c>
      <c r="I7" s="14" t="s">
        <v>84</v>
      </c>
      <c r="J7" s="14" t="s">
        <v>85</v>
      </c>
      <c r="K7" s="8" t="s">
        <v>201</v>
      </c>
      <c r="L7" s="8" t="s">
        <v>201</v>
      </c>
      <c r="M7" s="8" t="s">
        <v>753</v>
      </c>
    </row>
    <row r="8" spans="1:13" ht="26.4" x14ac:dyDescent="0.3">
      <c r="A8" s="8" t="s">
        <v>202</v>
      </c>
      <c r="B8" s="8"/>
      <c r="C8" s="10" t="s">
        <v>203</v>
      </c>
      <c r="D8" s="8" t="s">
        <v>44</v>
      </c>
      <c r="E8" s="8" t="s">
        <v>45</v>
      </c>
      <c r="F8" s="11" t="s">
        <v>83</v>
      </c>
      <c r="G8" s="12" t="s">
        <v>33</v>
      </c>
      <c r="H8" s="13" t="s">
        <v>27</v>
      </c>
      <c r="I8" s="14" t="s">
        <v>84</v>
      </c>
      <c r="J8" s="14" t="s">
        <v>85</v>
      </c>
      <c r="K8" s="8" t="s">
        <v>158</v>
      </c>
      <c r="L8" s="8" t="s">
        <v>158</v>
      </c>
      <c r="M8" s="8"/>
    </row>
    <row r="9" spans="1:13" ht="26.4" x14ac:dyDescent="0.3">
      <c r="A9" s="8" t="s">
        <v>204</v>
      </c>
      <c r="B9" s="8" t="s">
        <v>205</v>
      </c>
      <c r="C9" s="10" t="s">
        <v>206</v>
      </c>
      <c r="D9" s="8" t="s">
        <v>44</v>
      </c>
      <c r="E9" s="8" t="s">
        <v>45</v>
      </c>
      <c r="F9" s="15" t="s">
        <v>37</v>
      </c>
      <c r="G9" s="12" t="s">
        <v>33</v>
      </c>
      <c r="H9" s="16" t="s">
        <v>28</v>
      </c>
      <c r="I9" s="14" t="s">
        <v>92</v>
      </c>
      <c r="J9" s="14" t="s">
        <v>115</v>
      </c>
      <c r="K9" s="8" t="s">
        <v>207</v>
      </c>
      <c r="L9" s="8" t="s">
        <v>208</v>
      </c>
      <c r="M9" s="8" t="s">
        <v>104</v>
      </c>
    </row>
    <row r="10" spans="1:13" ht="26.4" x14ac:dyDescent="0.3">
      <c r="A10" s="8" t="s">
        <v>209</v>
      </c>
      <c r="B10" s="8" t="s">
        <v>100</v>
      </c>
      <c r="C10" s="10" t="s">
        <v>210</v>
      </c>
      <c r="D10" s="8" t="s">
        <v>44</v>
      </c>
      <c r="E10" s="8" t="s">
        <v>45</v>
      </c>
      <c r="F10" s="15" t="s">
        <v>37</v>
      </c>
      <c r="G10" s="17" t="s">
        <v>34</v>
      </c>
      <c r="H10" s="13" t="s">
        <v>27</v>
      </c>
      <c r="I10" s="14" t="s">
        <v>92</v>
      </c>
      <c r="J10" s="14" t="s">
        <v>115</v>
      </c>
      <c r="K10" s="8" t="s">
        <v>211</v>
      </c>
      <c r="L10" s="8" t="s">
        <v>211</v>
      </c>
      <c r="M10" s="8" t="s">
        <v>212</v>
      </c>
    </row>
    <row r="11" spans="1:13" ht="26.4" x14ac:dyDescent="0.3">
      <c r="A11" s="8" t="s">
        <v>213</v>
      </c>
      <c r="B11" s="8" t="s">
        <v>100</v>
      </c>
      <c r="C11" s="10" t="s">
        <v>214</v>
      </c>
      <c r="D11" s="8" t="s">
        <v>44</v>
      </c>
      <c r="E11" s="8" t="s">
        <v>45</v>
      </c>
      <c r="F11" s="11" t="s">
        <v>83</v>
      </c>
      <c r="G11" s="17" t="s">
        <v>34</v>
      </c>
      <c r="H11" s="13" t="s">
        <v>27</v>
      </c>
      <c r="I11" s="14" t="s">
        <v>115</v>
      </c>
      <c r="J11" s="14" t="s">
        <v>85</v>
      </c>
      <c r="K11" s="8" t="s">
        <v>215</v>
      </c>
      <c r="L11" s="8" t="s">
        <v>175</v>
      </c>
      <c r="M11" s="8" t="s">
        <v>216</v>
      </c>
    </row>
    <row r="12" spans="1:13" x14ac:dyDescent="0.3">
      <c r="A12" s="8" t="s">
        <v>217</v>
      </c>
      <c r="B12" s="8" t="s">
        <v>100</v>
      </c>
      <c r="C12" s="10" t="s">
        <v>218</v>
      </c>
      <c r="D12" s="8" t="s">
        <v>44</v>
      </c>
      <c r="E12" s="8" t="s">
        <v>45</v>
      </c>
      <c r="F12" s="11" t="s">
        <v>83</v>
      </c>
      <c r="G12" s="15" t="s">
        <v>35</v>
      </c>
      <c r="H12" s="12" t="s">
        <v>31</v>
      </c>
      <c r="I12" s="14" t="s">
        <v>92</v>
      </c>
      <c r="J12" s="14" t="s">
        <v>188</v>
      </c>
      <c r="K12" s="8" t="s">
        <v>219</v>
      </c>
      <c r="L12" s="8" t="s">
        <v>180</v>
      </c>
      <c r="M12" s="8"/>
    </row>
    <row r="13" spans="1:13" ht="15" customHeight="1" x14ac:dyDescent="0.3">
      <c r="A13" s="146" t="s">
        <v>696</v>
      </c>
      <c r="B13" s="146"/>
      <c r="C13" s="146"/>
      <c r="D13" s="146"/>
      <c r="E13" s="146"/>
      <c r="F13" s="146"/>
      <c r="G13" s="146"/>
      <c r="H13" s="146"/>
      <c r="I13" s="146"/>
      <c r="J13" s="146"/>
      <c r="K13" s="146"/>
      <c r="L13" s="146"/>
      <c r="M13" s="146"/>
    </row>
    <row r="14" spans="1:13" ht="26.4" x14ac:dyDescent="0.3">
      <c r="A14" s="8" t="s">
        <v>220</v>
      </c>
      <c r="B14" s="8" t="s">
        <v>100</v>
      </c>
      <c r="C14" s="10" t="s">
        <v>221</v>
      </c>
      <c r="D14" s="8" t="s">
        <v>44</v>
      </c>
      <c r="E14" s="8" t="s">
        <v>46</v>
      </c>
      <c r="F14" s="11" t="s">
        <v>83</v>
      </c>
      <c r="G14" s="18" t="s">
        <v>32</v>
      </c>
      <c r="H14" s="16" t="s">
        <v>28</v>
      </c>
      <c r="I14" s="14" t="s">
        <v>92</v>
      </c>
      <c r="J14" s="14" t="s">
        <v>85</v>
      </c>
      <c r="K14" s="8" t="s">
        <v>222</v>
      </c>
      <c r="L14" s="8" t="s">
        <v>223</v>
      </c>
      <c r="M14" s="8" t="s">
        <v>224</v>
      </c>
    </row>
    <row r="15" spans="1:13" ht="15" customHeight="1" x14ac:dyDescent="0.3">
      <c r="A15" s="146" t="s">
        <v>697</v>
      </c>
      <c r="B15" s="146"/>
      <c r="C15" s="146"/>
      <c r="D15" s="146"/>
      <c r="E15" s="146"/>
      <c r="F15" s="146"/>
      <c r="G15" s="146"/>
      <c r="H15" s="146"/>
      <c r="I15" s="146"/>
      <c r="J15" s="146"/>
      <c r="K15" s="146"/>
      <c r="L15" s="146"/>
      <c r="M15" s="146"/>
    </row>
    <row r="16" spans="1:13" x14ac:dyDescent="0.3">
      <c r="A16" s="8" t="s">
        <v>225</v>
      </c>
      <c r="B16" s="8" t="s">
        <v>100</v>
      </c>
      <c r="C16" s="10" t="s">
        <v>754</v>
      </c>
      <c r="D16" s="8" t="s">
        <v>44</v>
      </c>
      <c r="E16" s="8" t="s">
        <v>47</v>
      </c>
      <c r="F16" s="15" t="s">
        <v>37</v>
      </c>
      <c r="G16" s="18" t="s">
        <v>32</v>
      </c>
      <c r="H16" s="15" t="s">
        <v>29</v>
      </c>
      <c r="I16" s="14" t="s">
        <v>92</v>
      </c>
      <c r="J16" s="14" t="s">
        <v>92</v>
      </c>
      <c r="K16" s="8" t="s">
        <v>227</v>
      </c>
      <c r="L16" s="8" t="s">
        <v>228</v>
      </c>
      <c r="M16" s="8" t="s">
        <v>224</v>
      </c>
    </row>
    <row r="17" spans="1:13" ht="26.4" x14ac:dyDescent="0.3">
      <c r="A17" s="8" t="s">
        <v>229</v>
      </c>
      <c r="B17" s="8" t="s">
        <v>163</v>
      </c>
      <c r="C17" s="10" t="s">
        <v>230</v>
      </c>
      <c r="D17" s="8" t="s">
        <v>44</v>
      </c>
      <c r="E17" s="8" t="s">
        <v>47</v>
      </c>
      <c r="F17" s="11" t="s">
        <v>83</v>
      </c>
      <c r="G17" s="17" t="s">
        <v>34</v>
      </c>
      <c r="H17" s="13" t="s">
        <v>27</v>
      </c>
      <c r="I17" s="14" t="s">
        <v>115</v>
      </c>
      <c r="J17" s="14" t="s">
        <v>85</v>
      </c>
      <c r="K17" s="8" t="s">
        <v>231</v>
      </c>
      <c r="L17" s="8" t="s">
        <v>166</v>
      </c>
      <c r="M17" s="8" t="s">
        <v>198</v>
      </c>
    </row>
    <row r="18" spans="1:13" x14ac:dyDescent="0.3">
      <c r="A18" s="8" t="s">
        <v>232</v>
      </c>
      <c r="B18" s="8" t="s">
        <v>205</v>
      </c>
      <c r="C18" s="10" t="s">
        <v>233</v>
      </c>
      <c r="D18" s="8" t="s">
        <v>44</v>
      </c>
      <c r="E18" s="8" t="s">
        <v>47</v>
      </c>
      <c r="F18" s="15" t="s">
        <v>37</v>
      </c>
      <c r="G18" s="15" t="s">
        <v>35</v>
      </c>
      <c r="H18" s="16" t="s">
        <v>28</v>
      </c>
      <c r="I18" s="14" t="s">
        <v>92</v>
      </c>
      <c r="J18" s="14" t="s">
        <v>188</v>
      </c>
      <c r="K18" s="8" t="s">
        <v>234</v>
      </c>
      <c r="L18" s="8" t="s">
        <v>103</v>
      </c>
      <c r="M18" s="8" t="s">
        <v>104</v>
      </c>
    </row>
    <row r="19" spans="1:13" ht="15" customHeight="1" x14ac:dyDescent="0.3">
      <c r="A19" s="146" t="s">
        <v>698</v>
      </c>
      <c r="B19" s="146"/>
      <c r="C19" s="146"/>
      <c r="D19" s="146"/>
      <c r="E19" s="146"/>
      <c r="F19" s="146"/>
      <c r="G19" s="146"/>
      <c r="H19" s="146"/>
      <c r="I19" s="146"/>
      <c r="J19" s="146"/>
      <c r="K19" s="146"/>
      <c r="L19" s="146"/>
      <c r="M19" s="146"/>
    </row>
    <row r="20" spans="1:13" ht="26.4" x14ac:dyDescent="0.3">
      <c r="A20" s="8" t="s">
        <v>235</v>
      </c>
      <c r="B20" s="8"/>
      <c r="C20" s="10" t="s">
        <v>236</v>
      </c>
      <c r="D20" s="8" t="s">
        <v>44</v>
      </c>
      <c r="E20" s="8" t="s">
        <v>48</v>
      </c>
      <c r="F20" s="11" t="s">
        <v>83</v>
      </c>
      <c r="G20" s="17" t="s">
        <v>34</v>
      </c>
      <c r="H20" s="13" t="s">
        <v>27</v>
      </c>
      <c r="I20" s="14" t="s">
        <v>84</v>
      </c>
      <c r="J20" s="14" t="s">
        <v>85</v>
      </c>
      <c r="K20" s="8" t="s">
        <v>112</v>
      </c>
      <c r="L20" s="8" t="s">
        <v>112</v>
      </c>
      <c r="M20" s="8"/>
    </row>
    <row r="21" spans="1:13" ht="15" customHeight="1" x14ac:dyDescent="0.3">
      <c r="A21" s="146" t="s">
        <v>699</v>
      </c>
      <c r="B21" s="146"/>
      <c r="C21" s="146"/>
      <c r="D21" s="146"/>
      <c r="E21" s="146"/>
      <c r="F21" s="146"/>
      <c r="G21" s="146"/>
      <c r="H21" s="146"/>
      <c r="I21" s="146"/>
      <c r="J21" s="146"/>
      <c r="K21" s="146"/>
      <c r="L21" s="146"/>
      <c r="M21" s="146"/>
    </row>
    <row r="22" spans="1:13" ht="26.4" x14ac:dyDescent="0.3">
      <c r="A22" s="8" t="s">
        <v>237</v>
      </c>
      <c r="B22" s="8" t="s">
        <v>163</v>
      </c>
      <c r="C22" s="10" t="s">
        <v>238</v>
      </c>
      <c r="D22" s="8" t="s">
        <v>44</v>
      </c>
      <c r="E22" s="8" t="s">
        <v>49</v>
      </c>
      <c r="F22" s="11" t="s">
        <v>83</v>
      </c>
      <c r="G22" s="12" t="s">
        <v>33</v>
      </c>
      <c r="H22" s="13" t="s">
        <v>27</v>
      </c>
      <c r="I22" s="14" t="s">
        <v>115</v>
      </c>
      <c r="J22" s="14" t="s">
        <v>85</v>
      </c>
      <c r="K22" s="8" t="s">
        <v>239</v>
      </c>
      <c r="L22" s="8" t="s">
        <v>166</v>
      </c>
      <c r="M22" s="8" t="s">
        <v>198</v>
      </c>
    </row>
    <row r="23" spans="1:13" ht="26.4" x14ac:dyDescent="0.3">
      <c r="A23" s="8" t="s">
        <v>240</v>
      </c>
      <c r="B23" s="8"/>
      <c r="C23" s="10" t="s">
        <v>241</v>
      </c>
      <c r="D23" s="8" t="s">
        <v>44</v>
      </c>
      <c r="E23" s="8" t="s">
        <v>49</v>
      </c>
      <c r="F23" s="11" t="s">
        <v>83</v>
      </c>
      <c r="G23" s="12" t="s">
        <v>33</v>
      </c>
      <c r="H23" s="13" t="s">
        <v>27</v>
      </c>
      <c r="I23" s="14" t="s">
        <v>84</v>
      </c>
      <c r="J23" s="14" t="s">
        <v>85</v>
      </c>
      <c r="K23" s="8" t="s">
        <v>242</v>
      </c>
      <c r="L23" s="8" t="s">
        <v>242</v>
      </c>
      <c r="M23" s="8"/>
    </row>
    <row r="24" spans="1:13" ht="26.4" x14ac:dyDescent="0.3">
      <c r="A24" s="8" t="s">
        <v>243</v>
      </c>
      <c r="B24" s="8"/>
      <c r="C24" s="10" t="s">
        <v>244</v>
      </c>
      <c r="D24" s="8" t="s">
        <v>44</v>
      </c>
      <c r="E24" s="8" t="s">
        <v>49</v>
      </c>
      <c r="F24" s="11" t="s">
        <v>83</v>
      </c>
      <c r="G24" s="12" t="s">
        <v>33</v>
      </c>
      <c r="H24" s="13" t="s">
        <v>27</v>
      </c>
      <c r="I24" s="14" t="s">
        <v>84</v>
      </c>
      <c r="J24" s="14" t="s">
        <v>85</v>
      </c>
      <c r="K24" s="8" t="s">
        <v>242</v>
      </c>
      <c r="L24" s="8" t="s">
        <v>242</v>
      </c>
      <c r="M24" s="8"/>
    </row>
    <row r="25" spans="1:13" ht="26.4" x14ac:dyDescent="0.3">
      <c r="A25" s="8" t="s">
        <v>245</v>
      </c>
      <c r="B25" s="8" t="s">
        <v>100</v>
      </c>
      <c r="C25" s="10" t="s">
        <v>246</v>
      </c>
      <c r="D25" s="8" t="s">
        <v>44</v>
      </c>
      <c r="E25" s="8" t="s">
        <v>49</v>
      </c>
      <c r="F25" s="11" t="s">
        <v>83</v>
      </c>
      <c r="G25" s="17" t="s">
        <v>34</v>
      </c>
      <c r="H25" s="13" t="s">
        <v>27</v>
      </c>
      <c r="I25" s="14" t="s">
        <v>115</v>
      </c>
      <c r="J25" s="14" t="s">
        <v>85</v>
      </c>
      <c r="K25" s="8" t="s">
        <v>247</v>
      </c>
      <c r="L25" s="8" t="s">
        <v>103</v>
      </c>
      <c r="M25" s="8" t="s">
        <v>198</v>
      </c>
    </row>
    <row r="26" spans="1:13" x14ac:dyDescent="0.3">
      <c r="A26" s="45" t="s">
        <v>798</v>
      </c>
      <c r="B26" s="45" t="s">
        <v>100</v>
      </c>
      <c r="C26" s="45" t="s">
        <v>793</v>
      </c>
      <c r="D26" s="46" t="s">
        <v>800</v>
      </c>
      <c r="E26" s="46" t="s">
        <v>801</v>
      </c>
      <c r="F26" s="45"/>
      <c r="G26" s="47" t="s">
        <v>33</v>
      </c>
      <c r="H26" s="47" t="s">
        <v>27</v>
      </c>
      <c r="I26" s="45" t="s">
        <v>84</v>
      </c>
      <c r="J26" s="45" t="s">
        <v>85</v>
      </c>
      <c r="K26" s="48">
        <v>46200.088194444441</v>
      </c>
      <c r="L26" s="48">
        <v>46200.088194444441</v>
      </c>
    </row>
    <row r="27" spans="1:13" ht="26.4" x14ac:dyDescent="0.3">
      <c r="A27" s="8" t="s">
        <v>248</v>
      </c>
      <c r="B27" s="8" t="s">
        <v>100</v>
      </c>
      <c r="C27" s="10" t="s">
        <v>249</v>
      </c>
      <c r="D27" s="8" t="s">
        <v>44</v>
      </c>
      <c r="E27" s="8" t="s">
        <v>49</v>
      </c>
      <c r="F27" s="11" t="s">
        <v>83</v>
      </c>
      <c r="G27" s="15" t="s">
        <v>35</v>
      </c>
      <c r="H27" s="13" t="s">
        <v>27</v>
      </c>
      <c r="I27" s="14" t="s">
        <v>115</v>
      </c>
      <c r="J27" s="14" t="s">
        <v>188</v>
      </c>
      <c r="K27" s="8" t="s">
        <v>250</v>
      </c>
      <c r="L27" s="8" t="s">
        <v>250</v>
      </c>
      <c r="M27" s="8" t="s">
        <v>176</v>
      </c>
    </row>
    <row r="28" spans="1:13" ht="15" customHeight="1" x14ac:dyDescent="0.3">
      <c r="A28" s="146" t="s">
        <v>700</v>
      </c>
      <c r="B28" s="146"/>
      <c r="C28" s="146"/>
      <c r="D28" s="146"/>
      <c r="E28" s="146"/>
      <c r="F28" s="146"/>
      <c r="G28" s="146"/>
      <c r="H28" s="146"/>
      <c r="I28" s="146"/>
      <c r="J28" s="146"/>
      <c r="K28" s="146"/>
      <c r="L28" s="146"/>
      <c r="M28" s="146"/>
    </row>
    <row r="29" spans="1:13" ht="26.4" x14ac:dyDescent="0.3">
      <c r="A29" s="8" t="s">
        <v>251</v>
      </c>
      <c r="B29" s="8" t="s">
        <v>163</v>
      </c>
      <c r="C29" s="10" t="s">
        <v>252</v>
      </c>
      <c r="D29" s="8" t="s">
        <v>44</v>
      </c>
      <c r="E29" s="8" t="s">
        <v>50</v>
      </c>
      <c r="F29" s="11" t="s">
        <v>83</v>
      </c>
      <c r="G29" s="18" t="s">
        <v>32</v>
      </c>
      <c r="H29" s="15" t="s">
        <v>29</v>
      </c>
      <c r="I29" s="14" t="s">
        <v>115</v>
      </c>
      <c r="J29" s="14" t="s">
        <v>85</v>
      </c>
      <c r="K29" s="8" t="s">
        <v>253</v>
      </c>
      <c r="L29" s="8" t="s">
        <v>254</v>
      </c>
      <c r="M29" s="8" t="s">
        <v>224</v>
      </c>
    </row>
    <row r="30" spans="1:13" ht="26.4" x14ac:dyDescent="0.3">
      <c r="A30" s="8" t="s">
        <v>255</v>
      </c>
      <c r="B30" s="8" t="s">
        <v>163</v>
      </c>
      <c r="C30" s="10" t="s">
        <v>256</v>
      </c>
      <c r="D30" s="8" t="s">
        <v>44</v>
      </c>
      <c r="E30" s="8" t="s">
        <v>50</v>
      </c>
      <c r="F30" s="11" t="s">
        <v>83</v>
      </c>
      <c r="G30" s="18" t="s">
        <v>32</v>
      </c>
      <c r="H30" s="19" t="s">
        <v>257</v>
      </c>
      <c r="I30" s="14" t="s">
        <v>115</v>
      </c>
      <c r="J30" s="14" t="s">
        <v>85</v>
      </c>
      <c r="K30" s="8" t="s">
        <v>228</v>
      </c>
      <c r="L30" s="8" t="s">
        <v>254</v>
      </c>
      <c r="M30" s="8" t="s">
        <v>224</v>
      </c>
    </row>
    <row r="31" spans="1:13" x14ac:dyDescent="0.3">
      <c r="A31" s="8" t="s">
        <v>258</v>
      </c>
      <c r="B31" s="8" t="s">
        <v>100</v>
      </c>
      <c r="C31" s="10" t="s">
        <v>259</v>
      </c>
      <c r="D31" s="8" t="s">
        <v>44</v>
      </c>
      <c r="E31" s="8" t="s">
        <v>50</v>
      </c>
      <c r="F31" s="11" t="s">
        <v>83</v>
      </c>
      <c r="G31" s="18" t="s">
        <v>32</v>
      </c>
      <c r="H31" s="13" t="s">
        <v>27</v>
      </c>
      <c r="I31" s="14" t="s">
        <v>92</v>
      </c>
      <c r="J31" s="14" t="s">
        <v>85</v>
      </c>
      <c r="K31" s="8" t="s">
        <v>260</v>
      </c>
      <c r="L31" s="8" t="s">
        <v>260</v>
      </c>
      <c r="M31" s="8" t="s">
        <v>216</v>
      </c>
    </row>
    <row r="32" spans="1:13" ht="26.4" x14ac:dyDescent="0.3">
      <c r="A32" s="8" t="s">
        <v>261</v>
      </c>
      <c r="B32" s="8" t="s">
        <v>163</v>
      </c>
      <c r="C32" s="10" t="s">
        <v>262</v>
      </c>
      <c r="D32" s="8" t="s">
        <v>44</v>
      </c>
      <c r="E32" s="8" t="s">
        <v>50</v>
      </c>
      <c r="F32" s="15" t="s">
        <v>37</v>
      </c>
      <c r="G32" s="18" t="s">
        <v>32</v>
      </c>
      <c r="H32" s="15" t="s">
        <v>29</v>
      </c>
      <c r="I32" s="14" t="s">
        <v>92</v>
      </c>
      <c r="J32" s="14" t="s">
        <v>85</v>
      </c>
      <c r="K32" s="8" t="s">
        <v>263</v>
      </c>
      <c r="L32" s="8" t="s">
        <v>264</v>
      </c>
      <c r="M32" s="8"/>
    </row>
    <row r="33" spans="1:13" ht="26.4" x14ac:dyDescent="0.3">
      <c r="A33" s="8" t="s">
        <v>265</v>
      </c>
      <c r="B33" s="8" t="s">
        <v>266</v>
      </c>
      <c r="C33" s="10" t="s">
        <v>267</v>
      </c>
      <c r="D33" s="8" t="s">
        <v>44</v>
      </c>
      <c r="E33" s="8" t="s">
        <v>50</v>
      </c>
      <c r="F33" s="11" t="s">
        <v>83</v>
      </c>
      <c r="G33" s="18" t="s">
        <v>32</v>
      </c>
      <c r="H33" s="13" t="s">
        <v>27</v>
      </c>
      <c r="I33" s="14" t="s">
        <v>115</v>
      </c>
      <c r="J33" s="14" t="s">
        <v>92</v>
      </c>
      <c r="K33" s="8" t="s">
        <v>268</v>
      </c>
      <c r="L33" s="8" t="s">
        <v>268</v>
      </c>
      <c r="M33" s="8" t="s">
        <v>176</v>
      </c>
    </row>
    <row r="34" spans="1:13" ht="26.4" x14ac:dyDescent="0.3">
      <c r="A34" s="8" t="s">
        <v>269</v>
      </c>
      <c r="B34" s="8" t="s">
        <v>163</v>
      </c>
      <c r="C34" s="10" t="s">
        <v>270</v>
      </c>
      <c r="D34" s="8" t="s">
        <v>44</v>
      </c>
      <c r="E34" s="8" t="s">
        <v>50</v>
      </c>
      <c r="F34" s="11" t="s">
        <v>83</v>
      </c>
      <c r="G34" s="12" t="s">
        <v>33</v>
      </c>
      <c r="H34" s="12" t="s">
        <v>31</v>
      </c>
      <c r="I34" s="14" t="s">
        <v>115</v>
      </c>
      <c r="J34" s="14" t="s">
        <v>85</v>
      </c>
      <c r="K34" s="8" t="s">
        <v>271</v>
      </c>
      <c r="L34" s="8" t="s">
        <v>166</v>
      </c>
      <c r="M34" s="8"/>
    </row>
    <row r="35" spans="1:13" ht="26.4" x14ac:dyDescent="0.3">
      <c r="A35" s="8" t="s">
        <v>272</v>
      </c>
      <c r="B35" s="8" t="s">
        <v>100</v>
      </c>
      <c r="C35" s="10" t="s">
        <v>273</v>
      </c>
      <c r="D35" s="8" t="s">
        <v>44</v>
      </c>
      <c r="E35" s="8" t="s">
        <v>50</v>
      </c>
      <c r="F35" s="11" t="s">
        <v>83</v>
      </c>
      <c r="G35" s="12" t="s">
        <v>33</v>
      </c>
      <c r="H35" s="13" t="s">
        <v>27</v>
      </c>
      <c r="I35" s="14" t="s">
        <v>115</v>
      </c>
      <c r="J35" s="14" t="s">
        <v>115</v>
      </c>
      <c r="K35" s="8" t="s">
        <v>274</v>
      </c>
      <c r="L35" s="8" t="s">
        <v>274</v>
      </c>
      <c r="M35" s="8" t="s">
        <v>216</v>
      </c>
    </row>
    <row r="36" spans="1:13" ht="26.4" x14ac:dyDescent="0.3">
      <c r="A36" s="8" t="s">
        <v>275</v>
      </c>
      <c r="B36" s="8" t="s">
        <v>205</v>
      </c>
      <c r="C36" s="10" t="s">
        <v>276</v>
      </c>
      <c r="D36" s="8" t="s">
        <v>44</v>
      </c>
      <c r="E36" s="8" t="s">
        <v>50</v>
      </c>
      <c r="F36" s="16" t="s">
        <v>36</v>
      </c>
      <c r="G36" s="12" t="s">
        <v>33</v>
      </c>
      <c r="H36" s="13" t="s">
        <v>27</v>
      </c>
      <c r="I36" s="14" t="s">
        <v>115</v>
      </c>
      <c r="J36" s="14" t="s">
        <v>115</v>
      </c>
      <c r="K36" s="8" t="s">
        <v>274</v>
      </c>
      <c r="L36" s="8" t="s">
        <v>274</v>
      </c>
      <c r="M36" s="8" t="s">
        <v>277</v>
      </c>
    </row>
    <row r="37" spans="1:13" ht="26.4" x14ac:dyDescent="0.3">
      <c r="A37" s="8" t="s">
        <v>278</v>
      </c>
      <c r="B37" s="8" t="s">
        <v>163</v>
      </c>
      <c r="C37" s="10" t="s">
        <v>279</v>
      </c>
      <c r="D37" s="8" t="s">
        <v>44</v>
      </c>
      <c r="E37" s="8" t="s">
        <v>50</v>
      </c>
      <c r="F37" s="16" t="s">
        <v>36</v>
      </c>
      <c r="G37" s="12" t="s">
        <v>33</v>
      </c>
      <c r="H37" s="13" t="s">
        <v>27</v>
      </c>
      <c r="I37" s="14" t="s">
        <v>115</v>
      </c>
      <c r="J37" s="14" t="s">
        <v>115</v>
      </c>
      <c r="K37" s="8" t="s">
        <v>280</v>
      </c>
      <c r="L37" s="8" t="s">
        <v>281</v>
      </c>
      <c r="M37" s="8" t="s">
        <v>216</v>
      </c>
    </row>
    <row r="38" spans="1:13" ht="26.4" x14ac:dyDescent="0.3">
      <c r="A38" s="8" t="s">
        <v>282</v>
      </c>
      <c r="B38" s="8" t="s">
        <v>100</v>
      </c>
      <c r="C38" s="10" t="s">
        <v>283</v>
      </c>
      <c r="D38" s="8" t="s">
        <v>44</v>
      </c>
      <c r="E38" s="8" t="s">
        <v>50</v>
      </c>
      <c r="F38" s="11" t="s">
        <v>83</v>
      </c>
      <c r="G38" s="12" t="s">
        <v>33</v>
      </c>
      <c r="H38" s="13" t="s">
        <v>27</v>
      </c>
      <c r="I38" s="14" t="s">
        <v>115</v>
      </c>
      <c r="J38" s="14" t="s">
        <v>85</v>
      </c>
      <c r="K38" s="8" t="s">
        <v>284</v>
      </c>
      <c r="L38" s="8" t="s">
        <v>103</v>
      </c>
      <c r="M38" s="8" t="s">
        <v>216</v>
      </c>
    </row>
    <row r="39" spans="1:13" ht="26.4" x14ac:dyDescent="0.3">
      <c r="A39" s="8" t="s">
        <v>285</v>
      </c>
      <c r="B39" s="8" t="s">
        <v>163</v>
      </c>
      <c r="C39" s="10" t="s">
        <v>286</v>
      </c>
      <c r="D39" s="8" t="s">
        <v>44</v>
      </c>
      <c r="E39" s="8" t="s">
        <v>50</v>
      </c>
      <c r="F39" s="11" t="s">
        <v>83</v>
      </c>
      <c r="G39" s="12" t="s">
        <v>33</v>
      </c>
      <c r="H39" s="19" t="s">
        <v>257</v>
      </c>
      <c r="I39" s="14" t="s">
        <v>115</v>
      </c>
      <c r="J39" s="14" t="s">
        <v>188</v>
      </c>
      <c r="K39" s="8" t="s">
        <v>287</v>
      </c>
      <c r="L39" s="8" t="s">
        <v>288</v>
      </c>
      <c r="M39" s="8" t="s">
        <v>104</v>
      </c>
    </row>
    <row r="40" spans="1:13" ht="26.4" x14ac:dyDescent="0.3">
      <c r="A40" s="8" t="s">
        <v>289</v>
      </c>
      <c r="B40" s="8" t="s">
        <v>163</v>
      </c>
      <c r="C40" s="10" t="s">
        <v>290</v>
      </c>
      <c r="D40" s="8" t="s">
        <v>44</v>
      </c>
      <c r="E40" s="8" t="s">
        <v>50</v>
      </c>
      <c r="F40" s="11" t="s">
        <v>83</v>
      </c>
      <c r="G40" s="12" t="s">
        <v>33</v>
      </c>
      <c r="H40" s="13" t="s">
        <v>27</v>
      </c>
      <c r="I40" s="14" t="s">
        <v>115</v>
      </c>
      <c r="J40" s="14" t="s">
        <v>85</v>
      </c>
      <c r="K40" s="8" t="s">
        <v>291</v>
      </c>
      <c r="L40" s="8" t="s">
        <v>166</v>
      </c>
      <c r="M40" s="8" t="s">
        <v>277</v>
      </c>
    </row>
    <row r="41" spans="1:13" ht="26.4" x14ac:dyDescent="0.3">
      <c r="A41" s="8" t="s">
        <v>292</v>
      </c>
      <c r="B41" s="8" t="s">
        <v>163</v>
      </c>
      <c r="C41" s="10" t="s">
        <v>293</v>
      </c>
      <c r="D41" s="8" t="s">
        <v>44</v>
      </c>
      <c r="E41" s="8" t="s">
        <v>50</v>
      </c>
      <c r="F41" s="11" t="s">
        <v>83</v>
      </c>
      <c r="G41" s="12" t="s">
        <v>33</v>
      </c>
      <c r="H41" s="19" t="s">
        <v>257</v>
      </c>
      <c r="I41" s="14" t="s">
        <v>92</v>
      </c>
      <c r="J41" s="14" t="s">
        <v>85</v>
      </c>
      <c r="K41" s="8" t="s">
        <v>294</v>
      </c>
      <c r="L41" s="8" t="s">
        <v>166</v>
      </c>
      <c r="M41" s="8" t="s">
        <v>224</v>
      </c>
    </row>
    <row r="42" spans="1:13" ht="26.4" x14ac:dyDescent="0.3">
      <c r="A42" s="8" t="s">
        <v>295</v>
      </c>
      <c r="B42" s="8" t="s">
        <v>163</v>
      </c>
      <c r="C42" s="10" t="s">
        <v>296</v>
      </c>
      <c r="D42" s="8" t="s">
        <v>44</v>
      </c>
      <c r="E42" s="8" t="s">
        <v>50</v>
      </c>
      <c r="F42" s="11" t="s">
        <v>83</v>
      </c>
      <c r="G42" s="12" t="s">
        <v>33</v>
      </c>
      <c r="H42" s="13" t="s">
        <v>27</v>
      </c>
      <c r="I42" s="14" t="s">
        <v>115</v>
      </c>
      <c r="J42" s="14" t="s">
        <v>85</v>
      </c>
      <c r="K42" s="8" t="s">
        <v>297</v>
      </c>
      <c r="L42" s="8" t="s">
        <v>166</v>
      </c>
      <c r="M42" s="8" t="s">
        <v>171</v>
      </c>
    </row>
    <row r="43" spans="1:13" ht="26.4" x14ac:dyDescent="0.3">
      <c r="A43" s="8" t="s">
        <v>298</v>
      </c>
      <c r="B43" s="8" t="s">
        <v>163</v>
      </c>
      <c r="C43" s="10" t="s">
        <v>299</v>
      </c>
      <c r="D43" s="8" t="s">
        <v>44</v>
      </c>
      <c r="E43" s="8" t="s">
        <v>50</v>
      </c>
      <c r="F43" s="11" t="s">
        <v>83</v>
      </c>
      <c r="G43" s="12" t="s">
        <v>33</v>
      </c>
      <c r="H43" s="15" t="s">
        <v>29</v>
      </c>
      <c r="I43" s="14" t="s">
        <v>115</v>
      </c>
      <c r="J43" s="14" t="s">
        <v>188</v>
      </c>
      <c r="K43" s="8" t="s">
        <v>281</v>
      </c>
      <c r="L43" s="8" t="s">
        <v>300</v>
      </c>
      <c r="M43" s="8" t="s">
        <v>104</v>
      </c>
    </row>
    <row r="44" spans="1:13" ht="26.4" x14ac:dyDescent="0.3">
      <c r="A44" s="8" t="s">
        <v>301</v>
      </c>
      <c r="B44" s="8" t="s">
        <v>100</v>
      </c>
      <c r="C44" s="10" t="s">
        <v>302</v>
      </c>
      <c r="D44" s="8" t="s">
        <v>44</v>
      </c>
      <c r="E44" s="8" t="s">
        <v>50</v>
      </c>
      <c r="F44" s="11" t="s">
        <v>83</v>
      </c>
      <c r="G44" s="12" t="s">
        <v>33</v>
      </c>
      <c r="H44" s="13" t="s">
        <v>27</v>
      </c>
      <c r="I44" s="14" t="s">
        <v>115</v>
      </c>
      <c r="J44" s="14" t="s">
        <v>85</v>
      </c>
      <c r="K44" s="8" t="s">
        <v>281</v>
      </c>
      <c r="L44" s="8" t="s">
        <v>281</v>
      </c>
      <c r="M44" s="8" t="s">
        <v>171</v>
      </c>
    </row>
    <row r="45" spans="1:13" x14ac:dyDescent="0.3">
      <c r="A45" s="8" t="s">
        <v>303</v>
      </c>
      <c r="B45" s="8" t="s">
        <v>163</v>
      </c>
      <c r="C45" s="10" t="s">
        <v>304</v>
      </c>
      <c r="D45" s="8" t="s">
        <v>44</v>
      </c>
      <c r="E45" s="8" t="s">
        <v>50</v>
      </c>
      <c r="F45" s="11" t="s">
        <v>83</v>
      </c>
      <c r="G45" s="12" t="s">
        <v>33</v>
      </c>
      <c r="H45" s="13" t="s">
        <v>27</v>
      </c>
      <c r="I45" s="14" t="s">
        <v>92</v>
      </c>
      <c r="J45" s="14" t="s">
        <v>188</v>
      </c>
      <c r="K45" s="8" t="s">
        <v>305</v>
      </c>
      <c r="L45" s="8" t="s">
        <v>306</v>
      </c>
      <c r="M45" s="8" t="s">
        <v>216</v>
      </c>
    </row>
    <row r="46" spans="1:13" ht="26.4" x14ac:dyDescent="0.3">
      <c r="A46" s="8" t="s">
        <v>307</v>
      </c>
      <c r="B46" s="8" t="s">
        <v>163</v>
      </c>
      <c r="C46" s="10" t="s">
        <v>308</v>
      </c>
      <c r="D46" s="8" t="s">
        <v>44</v>
      </c>
      <c r="E46" s="8" t="s">
        <v>50</v>
      </c>
      <c r="F46" s="11" t="s">
        <v>83</v>
      </c>
      <c r="G46" s="12" t="s">
        <v>33</v>
      </c>
      <c r="H46" s="13" t="s">
        <v>27</v>
      </c>
      <c r="I46" s="14" t="s">
        <v>92</v>
      </c>
      <c r="J46" s="14" t="s">
        <v>188</v>
      </c>
      <c r="K46" s="8" t="s">
        <v>309</v>
      </c>
      <c r="L46" s="8" t="s">
        <v>309</v>
      </c>
      <c r="M46" s="8" t="s">
        <v>171</v>
      </c>
    </row>
    <row r="47" spans="1:13" ht="26.4" x14ac:dyDescent="0.3">
      <c r="A47" s="8" t="s">
        <v>310</v>
      </c>
      <c r="B47" s="8" t="s">
        <v>100</v>
      </c>
      <c r="C47" s="10" t="s">
        <v>311</v>
      </c>
      <c r="D47" s="8" t="s">
        <v>44</v>
      </c>
      <c r="E47" s="8" t="s">
        <v>50</v>
      </c>
      <c r="F47" s="11" t="s">
        <v>83</v>
      </c>
      <c r="G47" s="12" t="s">
        <v>33</v>
      </c>
      <c r="H47" s="13" t="s">
        <v>27</v>
      </c>
      <c r="I47" s="14" t="s">
        <v>115</v>
      </c>
      <c r="J47" s="14" t="s">
        <v>85</v>
      </c>
      <c r="K47" s="8" t="s">
        <v>312</v>
      </c>
      <c r="L47" s="8" t="s">
        <v>312</v>
      </c>
      <c r="M47" s="8" t="s">
        <v>171</v>
      </c>
    </row>
    <row r="48" spans="1:13" ht="26.4" x14ac:dyDescent="0.3">
      <c r="A48" s="8" t="s">
        <v>313</v>
      </c>
      <c r="B48" s="8" t="s">
        <v>163</v>
      </c>
      <c r="C48" s="10" t="s">
        <v>314</v>
      </c>
      <c r="D48" s="8" t="s">
        <v>44</v>
      </c>
      <c r="E48" s="8" t="s">
        <v>50</v>
      </c>
      <c r="F48" s="11" t="s">
        <v>83</v>
      </c>
      <c r="G48" s="12" t="s">
        <v>33</v>
      </c>
      <c r="H48" s="13" t="s">
        <v>27</v>
      </c>
      <c r="I48" s="14" t="s">
        <v>115</v>
      </c>
      <c r="J48" s="14" t="s">
        <v>188</v>
      </c>
      <c r="K48" s="8" t="s">
        <v>315</v>
      </c>
      <c r="L48" s="8" t="s">
        <v>315</v>
      </c>
      <c r="M48" s="8" t="s">
        <v>198</v>
      </c>
    </row>
    <row r="49" spans="1:13" ht="26.4" x14ac:dyDescent="0.3">
      <c r="A49" s="8" t="s">
        <v>316</v>
      </c>
      <c r="B49" s="8" t="s">
        <v>163</v>
      </c>
      <c r="C49" s="10" t="s">
        <v>317</v>
      </c>
      <c r="D49" s="8" t="s">
        <v>44</v>
      </c>
      <c r="E49" s="8" t="s">
        <v>50</v>
      </c>
      <c r="F49" s="11" t="s">
        <v>83</v>
      </c>
      <c r="G49" s="12" t="s">
        <v>33</v>
      </c>
      <c r="H49" s="13" t="s">
        <v>27</v>
      </c>
      <c r="I49" s="14"/>
      <c r="J49" s="14"/>
      <c r="K49" s="8"/>
      <c r="L49" s="8"/>
      <c r="M49" s="8" t="s">
        <v>198</v>
      </c>
    </row>
    <row r="50" spans="1:13" ht="39.6" x14ac:dyDescent="0.3">
      <c r="A50" s="8" t="s">
        <v>318</v>
      </c>
      <c r="B50" s="8"/>
      <c r="C50" s="10" t="s">
        <v>319</v>
      </c>
      <c r="D50" s="8" t="s">
        <v>44</v>
      </c>
      <c r="E50" s="8" t="s">
        <v>50</v>
      </c>
      <c r="F50" s="11" t="s">
        <v>83</v>
      </c>
      <c r="G50" s="12" t="s">
        <v>33</v>
      </c>
      <c r="H50" s="13" t="s">
        <v>27</v>
      </c>
      <c r="I50" s="14" t="s">
        <v>92</v>
      </c>
      <c r="J50" s="14" t="s">
        <v>85</v>
      </c>
      <c r="K50" s="8" t="s">
        <v>320</v>
      </c>
      <c r="L50" s="8" t="s">
        <v>321</v>
      </c>
      <c r="M50" s="8"/>
    </row>
    <row r="51" spans="1:13" ht="26.4" x14ac:dyDescent="0.3">
      <c r="A51" s="8" t="s">
        <v>322</v>
      </c>
      <c r="B51" s="8"/>
      <c r="C51" s="10" t="s">
        <v>323</v>
      </c>
      <c r="D51" s="8" t="s">
        <v>44</v>
      </c>
      <c r="E51" s="8" t="s">
        <v>50</v>
      </c>
      <c r="F51" s="11" t="s">
        <v>83</v>
      </c>
      <c r="G51" s="12" t="s">
        <v>33</v>
      </c>
      <c r="H51" s="16" t="s">
        <v>28</v>
      </c>
      <c r="I51" s="14" t="s">
        <v>84</v>
      </c>
      <c r="J51" s="14" t="s">
        <v>85</v>
      </c>
      <c r="K51" s="8" t="s">
        <v>324</v>
      </c>
      <c r="L51" s="8" t="s">
        <v>325</v>
      </c>
      <c r="M51" s="8"/>
    </row>
    <row r="52" spans="1:13" ht="26.4" x14ac:dyDescent="0.3">
      <c r="A52" s="8" t="s">
        <v>326</v>
      </c>
      <c r="B52" s="8"/>
      <c r="C52" s="10" t="s">
        <v>327</v>
      </c>
      <c r="D52" s="8" t="s">
        <v>44</v>
      </c>
      <c r="E52" s="8" t="s">
        <v>50</v>
      </c>
      <c r="F52" s="11" t="s">
        <v>83</v>
      </c>
      <c r="G52" s="12" t="s">
        <v>33</v>
      </c>
      <c r="H52" s="13" t="s">
        <v>27</v>
      </c>
      <c r="I52" s="14" t="s">
        <v>84</v>
      </c>
      <c r="J52" s="14" t="s">
        <v>85</v>
      </c>
      <c r="K52" s="8" t="s">
        <v>328</v>
      </c>
      <c r="L52" s="8" t="s">
        <v>328</v>
      </c>
      <c r="M52" s="8"/>
    </row>
    <row r="53" spans="1:13" ht="26.4" x14ac:dyDescent="0.3">
      <c r="A53" s="8" t="s">
        <v>329</v>
      </c>
      <c r="B53" s="8"/>
      <c r="C53" s="10" t="s">
        <v>330</v>
      </c>
      <c r="D53" s="8" t="s">
        <v>44</v>
      </c>
      <c r="E53" s="8" t="s">
        <v>50</v>
      </c>
      <c r="F53" s="11" t="s">
        <v>83</v>
      </c>
      <c r="G53" s="12" t="s">
        <v>33</v>
      </c>
      <c r="H53" s="13" t="s">
        <v>27</v>
      </c>
      <c r="I53" s="14" t="s">
        <v>84</v>
      </c>
      <c r="J53" s="14" t="s">
        <v>85</v>
      </c>
      <c r="K53" s="8" t="s">
        <v>328</v>
      </c>
      <c r="L53" s="8" t="s">
        <v>328</v>
      </c>
      <c r="M53" s="8"/>
    </row>
    <row r="54" spans="1:13" ht="26.4" x14ac:dyDescent="0.3">
      <c r="A54" s="8" t="s">
        <v>331</v>
      </c>
      <c r="B54" s="8" t="s">
        <v>100</v>
      </c>
      <c r="C54" s="10" t="s">
        <v>332</v>
      </c>
      <c r="D54" s="8" t="s">
        <v>44</v>
      </c>
      <c r="E54" s="8" t="s">
        <v>50</v>
      </c>
      <c r="F54" s="11" t="s">
        <v>83</v>
      </c>
      <c r="G54" s="12" t="s">
        <v>33</v>
      </c>
      <c r="H54" s="19" t="s">
        <v>257</v>
      </c>
      <c r="I54" s="14" t="s">
        <v>92</v>
      </c>
      <c r="J54" s="14" t="s">
        <v>85</v>
      </c>
      <c r="K54" s="8" t="s">
        <v>333</v>
      </c>
      <c r="L54" s="8" t="s">
        <v>180</v>
      </c>
      <c r="M54" s="8" t="s">
        <v>104</v>
      </c>
    </row>
    <row r="55" spans="1:13" ht="26.4" x14ac:dyDescent="0.3">
      <c r="A55" s="8" t="s">
        <v>334</v>
      </c>
      <c r="B55" s="8" t="s">
        <v>100</v>
      </c>
      <c r="C55" s="10" t="s">
        <v>335</v>
      </c>
      <c r="D55" s="8" t="s">
        <v>44</v>
      </c>
      <c r="E55" s="8" t="s">
        <v>50</v>
      </c>
      <c r="F55" s="11" t="s">
        <v>83</v>
      </c>
      <c r="G55" s="17" t="s">
        <v>34</v>
      </c>
      <c r="H55" s="13" t="s">
        <v>27</v>
      </c>
      <c r="I55" s="14" t="s">
        <v>115</v>
      </c>
      <c r="J55" s="14" t="s">
        <v>85</v>
      </c>
      <c r="K55" s="8" t="s">
        <v>336</v>
      </c>
      <c r="L55" s="8" t="s">
        <v>336</v>
      </c>
      <c r="M55" s="8" t="s">
        <v>198</v>
      </c>
    </row>
    <row r="56" spans="1:13" ht="26.4" x14ac:dyDescent="0.3">
      <c r="A56" s="8" t="s">
        <v>337</v>
      </c>
      <c r="B56" s="8" t="s">
        <v>100</v>
      </c>
      <c r="C56" s="10" t="s">
        <v>338</v>
      </c>
      <c r="D56" s="8" t="s">
        <v>44</v>
      </c>
      <c r="E56" s="8" t="s">
        <v>50</v>
      </c>
      <c r="F56" s="11" t="s">
        <v>83</v>
      </c>
      <c r="G56" s="17" t="s">
        <v>34</v>
      </c>
      <c r="H56" s="13" t="s">
        <v>27</v>
      </c>
      <c r="I56" s="14" t="s">
        <v>115</v>
      </c>
      <c r="J56" s="14" t="s">
        <v>85</v>
      </c>
      <c r="K56" s="8" t="s">
        <v>339</v>
      </c>
      <c r="L56" s="8" t="s">
        <v>340</v>
      </c>
      <c r="M56" s="8" t="s">
        <v>198</v>
      </c>
    </row>
    <row r="57" spans="1:13" ht="26.4" x14ac:dyDescent="0.3">
      <c r="A57" s="30" t="s">
        <v>341</v>
      </c>
      <c r="B57" s="30" t="s">
        <v>100</v>
      </c>
      <c r="C57" s="29" t="s">
        <v>342</v>
      </c>
      <c r="D57" s="30" t="s">
        <v>44</v>
      </c>
      <c r="E57" s="30" t="s">
        <v>50</v>
      </c>
      <c r="F57" s="31" t="s">
        <v>83</v>
      </c>
      <c r="G57" s="32" t="s">
        <v>34</v>
      </c>
      <c r="H57" s="33" t="s">
        <v>27</v>
      </c>
      <c r="I57" s="34" t="s">
        <v>115</v>
      </c>
      <c r="J57" s="34" t="s">
        <v>85</v>
      </c>
      <c r="K57" s="30" t="s">
        <v>340</v>
      </c>
      <c r="L57" s="30" t="s">
        <v>166</v>
      </c>
      <c r="M57" s="8" t="s">
        <v>762</v>
      </c>
    </row>
    <row r="58" spans="1:13" ht="26.4" x14ac:dyDescent="0.3">
      <c r="A58" s="8" t="s">
        <v>343</v>
      </c>
      <c r="B58" s="8"/>
      <c r="C58" s="10" t="s">
        <v>344</v>
      </c>
      <c r="D58" s="8" t="s">
        <v>44</v>
      </c>
      <c r="E58" s="8" t="s">
        <v>50</v>
      </c>
      <c r="F58" s="11" t="s">
        <v>83</v>
      </c>
      <c r="G58" s="17" t="s">
        <v>34</v>
      </c>
      <c r="H58" s="13" t="s">
        <v>27</v>
      </c>
      <c r="I58" s="14" t="s">
        <v>84</v>
      </c>
      <c r="J58" s="14" t="s">
        <v>85</v>
      </c>
      <c r="K58" s="8" t="s">
        <v>345</v>
      </c>
      <c r="L58" s="8" t="s">
        <v>345</v>
      </c>
      <c r="M58" s="8"/>
    </row>
    <row r="59" spans="1:13" ht="26.4" x14ac:dyDescent="0.3">
      <c r="A59" s="8" t="s">
        <v>346</v>
      </c>
      <c r="B59" s="8"/>
      <c r="C59" s="10" t="s">
        <v>347</v>
      </c>
      <c r="D59" s="8" t="s">
        <v>44</v>
      </c>
      <c r="E59" s="8" t="s">
        <v>50</v>
      </c>
      <c r="F59" s="11" t="s">
        <v>83</v>
      </c>
      <c r="G59" s="17" t="s">
        <v>34</v>
      </c>
      <c r="H59" s="13" t="s">
        <v>27</v>
      </c>
      <c r="I59" s="14" t="s">
        <v>84</v>
      </c>
      <c r="J59" s="14" t="s">
        <v>85</v>
      </c>
      <c r="K59" s="8" t="s">
        <v>324</v>
      </c>
      <c r="L59" s="8" t="s">
        <v>324</v>
      </c>
      <c r="M59" s="8"/>
    </row>
    <row r="60" spans="1:13" ht="26.4" x14ac:dyDescent="0.3">
      <c r="A60" s="8" t="s">
        <v>348</v>
      </c>
      <c r="B60" s="8" t="s">
        <v>163</v>
      </c>
      <c r="C60" s="10" t="s">
        <v>349</v>
      </c>
      <c r="D60" s="8" t="s">
        <v>44</v>
      </c>
      <c r="E60" s="8" t="s">
        <v>50</v>
      </c>
      <c r="F60" s="11" t="s">
        <v>83</v>
      </c>
      <c r="G60" s="15" t="s">
        <v>35</v>
      </c>
      <c r="H60" s="13" t="s">
        <v>27</v>
      </c>
      <c r="I60" s="14" t="s">
        <v>115</v>
      </c>
      <c r="J60" s="14" t="s">
        <v>188</v>
      </c>
      <c r="K60" s="8" t="s">
        <v>350</v>
      </c>
      <c r="L60" s="8" t="s">
        <v>281</v>
      </c>
      <c r="M60" s="8" t="s">
        <v>216</v>
      </c>
    </row>
    <row r="61" spans="1:13" ht="26.4" x14ac:dyDescent="0.3">
      <c r="A61" s="8" t="s">
        <v>351</v>
      </c>
      <c r="B61" s="8" t="s">
        <v>100</v>
      </c>
      <c r="C61" s="10" t="s">
        <v>352</v>
      </c>
      <c r="D61" s="8" t="s">
        <v>44</v>
      </c>
      <c r="E61" s="8" t="s">
        <v>50</v>
      </c>
      <c r="F61" s="11" t="s">
        <v>83</v>
      </c>
      <c r="G61" s="15" t="s">
        <v>35</v>
      </c>
      <c r="H61" s="13" t="s">
        <v>27</v>
      </c>
      <c r="I61" s="14" t="s">
        <v>115</v>
      </c>
      <c r="J61" s="14" t="s">
        <v>188</v>
      </c>
      <c r="K61" s="8" t="s">
        <v>287</v>
      </c>
      <c r="L61" s="8" t="s">
        <v>281</v>
      </c>
      <c r="M61" s="8" t="s">
        <v>198</v>
      </c>
    </row>
    <row r="62" spans="1:13" x14ac:dyDescent="0.3">
      <c r="A62" s="8" t="s">
        <v>353</v>
      </c>
      <c r="B62" s="8"/>
      <c r="C62" s="10" t="s">
        <v>354</v>
      </c>
      <c r="D62" s="8" t="s">
        <v>44</v>
      </c>
      <c r="E62" s="8" t="s">
        <v>50</v>
      </c>
      <c r="F62" s="11" t="s">
        <v>83</v>
      </c>
      <c r="G62" s="15" t="s">
        <v>35</v>
      </c>
      <c r="H62" s="13" t="s">
        <v>27</v>
      </c>
      <c r="I62" s="14" t="s">
        <v>92</v>
      </c>
      <c r="J62" s="14" t="s">
        <v>188</v>
      </c>
      <c r="K62" s="8" t="s">
        <v>87</v>
      </c>
      <c r="L62" s="8" t="s">
        <v>87</v>
      </c>
      <c r="M62" s="8"/>
    </row>
    <row r="63" spans="1:13" ht="26.4" x14ac:dyDescent="0.3">
      <c r="A63" s="8" t="s">
        <v>355</v>
      </c>
      <c r="B63" s="8"/>
      <c r="C63" s="10" t="s">
        <v>356</v>
      </c>
      <c r="D63" s="8" t="s">
        <v>44</v>
      </c>
      <c r="E63" s="8" t="s">
        <v>50</v>
      </c>
      <c r="F63" s="11" t="s">
        <v>83</v>
      </c>
      <c r="G63" s="15" t="s">
        <v>35</v>
      </c>
      <c r="H63" s="13" t="s">
        <v>27</v>
      </c>
      <c r="I63" s="14" t="s">
        <v>84</v>
      </c>
      <c r="J63" s="14" t="s">
        <v>188</v>
      </c>
      <c r="K63" s="8" t="s">
        <v>201</v>
      </c>
      <c r="L63" s="8" t="s">
        <v>201</v>
      </c>
      <c r="M63" s="8"/>
    </row>
    <row r="64" spans="1:13" ht="26.4" x14ac:dyDescent="0.3">
      <c r="A64" s="8" t="s">
        <v>357</v>
      </c>
      <c r="B64" s="8"/>
      <c r="C64" s="10" t="s">
        <v>358</v>
      </c>
      <c r="D64" s="8" t="s">
        <v>44</v>
      </c>
      <c r="E64" s="8" t="s">
        <v>50</v>
      </c>
      <c r="F64" s="11" t="s">
        <v>83</v>
      </c>
      <c r="G64" s="15" t="s">
        <v>35</v>
      </c>
      <c r="H64" s="13" t="s">
        <v>27</v>
      </c>
      <c r="I64" s="14" t="s">
        <v>84</v>
      </c>
      <c r="J64" s="14" t="s">
        <v>188</v>
      </c>
      <c r="K64" s="8" t="s">
        <v>201</v>
      </c>
      <c r="L64" s="8" t="s">
        <v>201</v>
      </c>
      <c r="M64" s="8"/>
    </row>
    <row r="65" spans="1:13" x14ac:dyDescent="0.3">
      <c r="A65" s="49" t="s">
        <v>812</v>
      </c>
      <c r="B65" s="49" t="s">
        <v>100</v>
      </c>
      <c r="C65" s="64" t="s">
        <v>813</v>
      </c>
      <c r="D65" s="51" t="s">
        <v>800</v>
      </c>
      <c r="E65" s="51" t="s">
        <v>824</v>
      </c>
      <c r="F65" s="51"/>
      <c r="G65" s="51" t="s">
        <v>32</v>
      </c>
      <c r="H65" s="49" t="s">
        <v>27</v>
      </c>
      <c r="I65" s="49" t="s">
        <v>84</v>
      </c>
      <c r="J65" s="49" t="s">
        <v>85</v>
      </c>
      <c r="K65" s="62">
        <v>46211.036805555559</v>
      </c>
      <c r="L65" s="62">
        <v>46211.036805555559</v>
      </c>
    </row>
    <row r="66" spans="1:13" ht="26.4" x14ac:dyDescent="0.3">
      <c r="A66" s="8" t="s">
        <v>359</v>
      </c>
      <c r="B66" s="8" t="s">
        <v>100</v>
      </c>
      <c r="C66" s="10" t="s">
        <v>360</v>
      </c>
      <c r="D66" s="8" t="s">
        <v>44</v>
      </c>
      <c r="E66" s="8" t="s">
        <v>50</v>
      </c>
      <c r="F66" s="11" t="s">
        <v>83</v>
      </c>
      <c r="G66" s="15" t="s">
        <v>35</v>
      </c>
      <c r="H66" s="13" t="s">
        <v>27</v>
      </c>
      <c r="I66" s="14"/>
      <c r="J66" s="14" t="s">
        <v>85</v>
      </c>
      <c r="K66" s="8" t="s">
        <v>361</v>
      </c>
      <c r="L66" s="8" t="s">
        <v>361</v>
      </c>
      <c r="M66" s="8" t="s">
        <v>216</v>
      </c>
    </row>
    <row r="67" spans="1:13" ht="12.6" customHeight="1" x14ac:dyDescent="0.3">
      <c r="A67" s="146" t="s">
        <v>701</v>
      </c>
      <c r="B67" s="146"/>
      <c r="C67" s="146"/>
      <c r="D67" s="146"/>
      <c r="E67" s="146"/>
      <c r="F67" s="146"/>
      <c r="G67" s="146"/>
      <c r="H67" s="146"/>
      <c r="I67" s="146"/>
      <c r="J67" s="146"/>
      <c r="K67" s="146"/>
      <c r="L67" s="146"/>
      <c r="M67" s="146"/>
    </row>
    <row r="68" spans="1:13" ht="26.4" x14ac:dyDescent="0.3">
      <c r="A68" s="8" t="s">
        <v>362</v>
      </c>
      <c r="B68" s="8" t="s">
        <v>100</v>
      </c>
      <c r="C68" s="10" t="s">
        <v>363</v>
      </c>
      <c r="D68" s="8" t="s">
        <v>44</v>
      </c>
      <c r="E68" s="8" t="s">
        <v>51</v>
      </c>
      <c r="F68" s="11" t="s">
        <v>83</v>
      </c>
      <c r="G68" s="17" t="s">
        <v>34</v>
      </c>
      <c r="H68" s="13" t="s">
        <v>27</v>
      </c>
      <c r="I68" s="14" t="s">
        <v>115</v>
      </c>
      <c r="J68" s="14" t="s">
        <v>85</v>
      </c>
      <c r="K68" s="8" t="s">
        <v>340</v>
      </c>
      <c r="L68" s="8" t="s">
        <v>340</v>
      </c>
      <c r="M68" s="8" t="s">
        <v>364</v>
      </c>
    </row>
    <row r="69" spans="1:13" x14ac:dyDescent="0.3">
      <c r="A69" s="21" t="s">
        <v>721</v>
      </c>
      <c r="B69" s="20"/>
      <c r="C69" s="20"/>
      <c r="D69" s="20"/>
      <c r="E69" s="20"/>
      <c r="F69" s="20"/>
      <c r="G69" s="20"/>
      <c r="H69" s="20"/>
      <c r="I69" s="20"/>
      <c r="J69" s="20"/>
      <c r="K69" s="20"/>
      <c r="L69" s="20"/>
      <c r="M69" s="20"/>
    </row>
    <row r="70" spans="1:13" ht="26.4" x14ac:dyDescent="0.3">
      <c r="A70" s="8" t="s">
        <v>88</v>
      </c>
      <c r="B70" s="8"/>
      <c r="C70" s="10" t="s">
        <v>89</v>
      </c>
      <c r="D70" s="8" t="s">
        <v>38</v>
      </c>
      <c r="E70" s="8" t="s">
        <v>39</v>
      </c>
      <c r="F70" s="11" t="s">
        <v>83</v>
      </c>
      <c r="G70" s="12" t="s">
        <v>33</v>
      </c>
      <c r="H70" s="13" t="s">
        <v>27</v>
      </c>
      <c r="I70" s="14" t="s">
        <v>84</v>
      </c>
      <c r="J70" s="14" t="s">
        <v>85</v>
      </c>
      <c r="K70" s="8" t="s">
        <v>86</v>
      </c>
      <c r="L70" s="8" t="s">
        <v>86</v>
      </c>
      <c r="M70" s="8"/>
    </row>
    <row r="71" spans="1:13" s="37" customFormat="1" ht="15.6" x14ac:dyDescent="0.3">
      <c r="A71" s="36" t="s">
        <v>723</v>
      </c>
    </row>
    <row r="72" spans="1:13" s="54" customFormat="1" ht="15.6" x14ac:dyDescent="0.3">
      <c r="A72" s="53"/>
      <c r="C72" s="55" t="s">
        <v>806</v>
      </c>
      <c r="D72" s="61" t="s">
        <v>24</v>
      </c>
    </row>
    <row r="73" spans="1:13" s="54" customFormat="1" ht="15.6" x14ac:dyDescent="0.3">
      <c r="A73" s="53"/>
      <c r="B73" s="80" t="s">
        <v>867</v>
      </c>
      <c r="C73" s="86" t="s">
        <v>865</v>
      </c>
      <c r="D73" s="87" t="s">
        <v>866</v>
      </c>
    </row>
    <row r="74" spans="1:13" s="54" customFormat="1" ht="15.6" x14ac:dyDescent="0.3">
      <c r="A74" s="53"/>
      <c r="C74" s="88" t="s">
        <v>871</v>
      </c>
      <c r="D74" s="89" t="s">
        <v>866</v>
      </c>
    </row>
    <row r="75" spans="1:13" s="54" customFormat="1" ht="18" x14ac:dyDescent="0.35">
      <c r="A75" s="53"/>
      <c r="C75" s="88" t="s">
        <v>872</v>
      </c>
      <c r="D75" s="89" t="s">
        <v>866</v>
      </c>
      <c r="F75" s="79" t="s">
        <v>870</v>
      </c>
    </row>
    <row r="76" spans="1:13" s="54" customFormat="1" ht="15.6" x14ac:dyDescent="0.3">
      <c r="A76" s="53"/>
      <c r="C76" s="88" t="s">
        <v>869</v>
      </c>
      <c r="D76" s="89" t="s">
        <v>866</v>
      </c>
    </row>
    <row r="77" spans="1:13" s="54" customFormat="1" ht="31.2" x14ac:dyDescent="0.3">
      <c r="A77" s="53"/>
      <c r="C77" s="101" t="s">
        <v>886</v>
      </c>
      <c r="D77" s="90"/>
    </row>
    <row r="78" spans="1:13" x14ac:dyDescent="0.3">
      <c r="A78" s="22"/>
      <c r="C78" s="81" t="s">
        <v>810</v>
      </c>
      <c r="D78" s="82"/>
    </row>
    <row r="79" spans="1:13" x14ac:dyDescent="0.3">
      <c r="A79" s="26" t="s">
        <v>868</v>
      </c>
      <c r="C79" s="65" t="s">
        <v>755</v>
      </c>
      <c r="D79" s="56" t="s">
        <v>757</v>
      </c>
    </row>
    <row r="80" spans="1:13" x14ac:dyDescent="0.3">
      <c r="C80" s="149" t="s">
        <v>756</v>
      </c>
      <c r="D80" s="150" t="s">
        <v>757</v>
      </c>
    </row>
    <row r="81" spans="1:4" x14ac:dyDescent="0.3">
      <c r="C81" s="149" t="s">
        <v>769</v>
      </c>
      <c r="D81" s="150" t="s">
        <v>757</v>
      </c>
    </row>
    <row r="82" spans="1:4" x14ac:dyDescent="0.3">
      <c r="C82" s="149" t="s">
        <v>874</v>
      </c>
      <c r="D82" s="150" t="s">
        <v>757</v>
      </c>
    </row>
    <row r="83" spans="1:4" x14ac:dyDescent="0.3">
      <c r="C83" s="149" t="s">
        <v>760</v>
      </c>
      <c r="D83" s="150" t="s">
        <v>757</v>
      </c>
    </row>
    <row r="84" spans="1:4" x14ac:dyDescent="0.3">
      <c r="A84" t="s">
        <v>928</v>
      </c>
      <c r="B84" s="73" t="s">
        <v>833</v>
      </c>
      <c r="C84" s="65" t="s">
        <v>875</v>
      </c>
      <c r="D84" s="56" t="s">
        <v>862</v>
      </c>
    </row>
    <row r="85" spans="1:4" ht="79.2" x14ac:dyDescent="0.3">
      <c r="A85" t="s">
        <v>929</v>
      </c>
      <c r="C85" s="65" t="s">
        <v>873</v>
      </c>
      <c r="D85" s="56" t="s">
        <v>757</v>
      </c>
    </row>
    <row r="86" spans="1:4" x14ac:dyDescent="0.3">
      <c r="C86" s="83" t="s">
        <v>825</v>
      </c>
      <c r="D86" s="84"/>
    </row>
    <row r="87" spans="1:4" ht="26.4" x14ac:dyDescent="0.3">
      <c r="C87" s="65" t="s">
        <v>784</v>
      </c>
      <c r="D87" s="56" t="s">
        <v>772</v>
      </c>
    </row>
    <row r="88" spans="1:4" x14ac:dyDescent="0.3">
      <c r="A88" s="138"/>
      <c r="C88" s="83" t="s">
        <v>811</v>
      </c>
      <c r="D88" s="84"/>
    </row>
    <row r="89" spans="1:4" x14ac:dyDescent="0.3">
      <c r="A89" s="139" t="s">
        <v>930</v>
      </c>
      <c r="B89" s="73" t="s">
        <v>842</v>
      </c>
      <c r="C89" s="66" t="s">
        <v>841</v>
      </c>
      <c r="D89" s="56"/>
    </row>
    <row r="90" spans="1:4" ht="158.4" x14ac:dyDescent="0.3">
      <c r="A90" s="139" t="s">
        <v>931</v>
      </c>
      <c r="C90" s="65" t="s">
        <v>843</v>
      </c>
      <c r="D90" s="56"/>
    </row>
    <row r="91" spans="1:4" ht="79.2" x14ac:dyDescent="0.3">
      <c r="A91" s="139" t="s">
        <v>932</v>
      </c>
      <c r="B91" s="73" t="s">
        <v>892</v>
      </c>
      <c r="C91" s="65" t="s">
        <v>893</v>
      </c>
      <c r="D91" s="56" t="s">
        <v>811</v>
      </c>
    </row>
    <row r="92" spans="1:4" ht="78.599999999999994" customHeight="1" x14ac:dyDescent="0.3">
      <c r="B92" s="73"/>
      <c r="C92" s="65" t="s">
        <v>896</v>
      </c>
      <c r="D92" s="56"/>
    </row>
    <row r="93" spans="1:4" ht="66" x14ac:dyDescent="0.3">
      <c r="A93" s="139" t="s">
        <v>933</v>
      </c>
      <c r="C93" s="65" t="s">
        <v>894</v>
      </c>
      <c r="D93" s="56" t="s">
        <v>761</v>
      </c>
    </row>
    <row r="94" spans="1:4" ht="26.4" x14ac:dyDescent="0.3">
      <c r="A94" s="139" t="s">
        <v>934</v>
      </c>
      <c r="B94" s="91">
        <v>46232</v>
      </c>
      <c r="C94" s="65" t="s">
        <v>895</v>
      </c>
      <c r="D94" s="45" t="s">
        <v>761</v>
      </c>
    </row>
    <row r="95" spans="1:4" ht="52.8" x14ac:dyDescent="0.3">
      <c r="A95" s="139" t="s">
        <v>935</v>
      </c>
      <c r="C95" s="65" t="s">
        <v>764</v>
      </c>
      <c r="D95" s="56" t="s">
        <v>765</v>
      </c>
    </row>
    <row r="96" spans="1:4" x14ac:dyDescent="0.3">
      <c r="B96" s="74" t="s">
        <v>833</v>
      </c>
      <c r="C96" s="81" t="s">
        <v>835</v>
      </c>
      <c r="D96" s="85"/>
    </row>
    <row r="97" spans="1:4" x14ac:dyDescent="0.3">
      <c r="A97" s="139" t="s">
        <v>942</v>
      </c>
      <c r="C97" s="65" t="s">
        <v>834</v>
      </c>
      <c r="D97" s="45" t="s">
        <v>908</v>
      </c>
    </row>
    <row r="98" spans="1:4" x14ac:dyDescent="0.3">
      <c r="C98" s="109" t="s">
        <v>899</v>
      </c>
      <c r="D98" s="112"/>
    </row>
    <row r="99" spans="1:4" ht="26.4" x14ac:dyDescent="0.3">
      <c r="A99" s="139" t="s">
        <v>943</v>
      </c>
      <c r="C99" s="110" t="s">
        <v>906</v>
      </c>
      <c r="D99" s="111" t="s">
        <v>907</v>
      </c>
    </row>
    <row r="114" spans="3:3" x14ac:dyDescent="0.3">
      <c r="C114" s="140" t="s">
        <v>936</v>
      </c>
    </row>
    <row r="115" spans="3:3" ht="22.8" x14ac:dyDescent="0.3">
      <c r="C115" s="141" t="s">
        <v>937</v>
      </c>
    </row>
    <row r="116" spans="3:3" ht="40.200000000000003" x14ac:dyDescent="0.3">
      <c r="C116" s="141" t="s">
        <v>938</v>
      </c>
    </row>
    <row r="117" spans="3:3" ht="34.200000000000003" x14ac:dyDescent="0.3">
      <c r="C117" s="141" t="s">
        <v>939</v>
      </c>
    </row>
    <row r="118" spans="3:3" ht="34.200000000000003" x14ac:dyDescent="0.3">
      <c r="C118" s="141" t="s">
        <v>940</v>
      </c>
    </row>
    <row r="119" spans="3:3" ht="22.8" x14ac:dyDescent="0.3">
      <c r="C119" s="141" t="s">
        <v>941</v>
      </c>
    </row>
  </sheetData>
  <sortState xmlns:xlrd2="http://schemas.microsoft.com/office/spreadsheetml/2017/richdata2" ref="C78:D95">
    <sortCondition ref="D78:D95"/>
  </sortState>
  <mergeCells count="8">
    <mergeCell ref="A21:M21"/>
    <mergeCell ref="A28:M28"/>
    <mergeCell ref="A67:M67"/>
    <mergeCell ref="A1:M1"/>
    <mergeCell ref="A4:M4"/>
    <mergeCell ref="A13:M13"/>
    <mergeCell ref="A15:M15"/>
    <mergeCell ref="A19:M19"/>
  </mergeCells>
  <phoneticPr fontId="23" type="noConversion"/>
  <pageMargins left="0.75" right="0.75" top="1" bottom="1" header="0.511811023622047" footer="0.511811023622047"/>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75EBB-5E48-41DD-881A-65964C5DAA1D}">
  <dimension ref="A2:A45"/>
  <sheetViews>
    <sheetView showGridLines="0" workbookViewId="0">
      <selection activeCell="K39" sqref="K39"/>
    </sheetView>
  </sheetViews>
  <sheetFormatPr defaultRowHeight="14.4" x14ac:dyDescent="0.3"/>
  <cols>
    <col min="1" max="1" width="13.109375" customWidth="1"/>
  </cols>
  <sheetData>
    <row r="2" spans="1:1" x14ac:dyDescent="0.3">
      <c r="A2" s="104" t="s">
        <v>900</v>
      </c>
    </row>
    <row r="3" spans="1:1" x14ac:dyDescent="0.3">
      <c r="A3" s="104" t="s">
        <v>909</v>
      </c>
    </row>
    <row r="4" spans="1:1" x14ac:dyDescent="0.3">
      <c r="A4" s="104"/>
    </row>
    <row r="5" spans="1:1" x14ac:dyDescent="0.3">
      <c r="A5" s="104" t="s">
        <v>901</v>
      </c>
    </row>
    <row r="6" spans="1:1" x14ac:dyDescent="0.3">
      <c r="A6" t="s">
        <v>904</v>
      </c>
    </row>
    <row r="7" spans="1:1" x14ac:dyDescent="0.3">
      <c r="A7" s="104" t="s">
        <v>902</v>
      </c>
    </row>
    <row r="8" spans="1:1" x14ac:dyDescent="0.3">
      <c r="A8" t="s">
        <v>905</v>
      </c>
    </row>
    <row r="10" spans="1:1" x14ac:dyDescent="0.3">
      <c r="A10" t="s">
        <v>903</v>
      </c>
    </row>
    <row r="36" spans="1:1" x14ac:dyDescent="0.3">
      <c r="A36" s="113"/>
    </row>
    <row r="38" spans="1:1" x14ac:dyDescent="0.3">
      <c r="A38" s="142" t="s">
        <v>956</v>
      </c>
    </row>
    <row r="45" spans="1:1" x14ac:dyDescent="0.3">
      <c r="A45" s="113"/>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70"/>
  <sheetViews>
    <sheetView showGridLines="0" tabSelected="1" zoomScaleNormal="100" workbookViewId="0">
      <pane ySplit="3" topLeftCell="A51" activePane="bottomLeft" state="frozen"/>
      <selection pane="bottomLeft" activeCell="D65" sqref="D65"/>
    </sheetView>
  </sheetViews>
  <sheetFormatPr defaultColWidth="8.6640625" defaultRowHeight="14.4" x14ac:dyDescent="0.3"/>
  <cols>
    <col min="1" max="1" width="11" customWidth="1"/>
    <col min="2" max="2" width="9" customWidth="1"/>
    <col min="3" max="3" width="62" customWidth="1"/>
    <col min="4" max="4" width="20.5546875" customWidth="1"/>
    <col min="5" max="5" width="24" customWidth="1"/>
    <col min="6" max="6" width="7" customWidth="1"/>
    <col min="7" max="7" width="10" customWidth="1"/>
    <col min="8" max="9" width="20" customWidth="1"/>
    <col min="10" max="10" width="18" customWidth="1"/>
    <col min="11" max="12" width="12" customWidth="1"/>
    <col min="13" max="13" width="22" customWidth="1"/>
  </cols>
  <sheetData>
    <row r="1" spans="1:13" ht="24" customHeight="1" x14ac:dyDescent="0.3">
      <c r="A1" s="144" t="s">
        <v>702</v>
      </c>
      <c r="B1" s="144"/>
      <c r="C1" s="144"/>
      <c r="D1" s="144"/>
      <c r="E1" s="144"/>
      <c r="F1" s="144"/>
      <c r="G1" s="144"/>
      <c r="H1" s="144"/>
      <c r="I1" s="144"/>
      <c r="J1" s="144"/>
      <c r="K1" s="144"/>
      <c r="L1" s="144"/>
      <c r="M1" s="144"/>
    </row>
    <row r="3" spans="1:13" x14ac:dyDescent="0.3">
      <c r="A3" s="2" t="s">
        <v>70</v>
      </c>
      <c r="B3" s="2" t="s">
        <v>71</v>
      </c>
      <c r="C3" s="2" t="s">
        <v>72</v>
      </c>
      <c r="D3" s="2" t="s">
        <v>24</v>
      </c>
      <c r="E3" s="2" t="s">
        <v>25</v>
      </c>
      <c r="F3" s="2" t="s">
        <v>73</v>
      </c>
      <c r="G3" s="2" t="s">
        <v>74</v>
      </c>
      <c r="H3" s="2" t="s">
        <v>75</v>
      </c>
      <c r="I3" s="2" t="s">
        <v>76</v>
      </c>
      <c r="J3" s="2" t="s">
        <v>77</v>
      </c>
      <c r="K3" s="2" t="s">
        <v>78</v>
      </c>
      <c r="L3" s="2" t="s">
        <v>79</v>
      </c>
      <c r="M3" s="2" t="s">
        <v>80</v>
      </c>
    </row>
    <row r="4" spans="1:13" ht="15" customHeight="1" x14ac:dyDescent="0.3">
      <c r="A4" s="146" t="s">
        <v>703</v>
      </c>
      <c r="B4" s="146"/>
      <c r="C4" s="146"/>
      <c r="D4" s="146"/>
      <c r="E4" s="146"/>
      <c r="F4" s="146"/>
      <c r="G4" s="146"/>
      <c r="H4" s="146"/>
      <c r="I4" s="146"/>
      <c r="J4" s="146"/>
      <c r="K4" s="146"/>
      <c r="L4" s="146"/>
      <c r="M4" s="146"/>
    </row>
    <row r="5" spans="1:13" ht="26.4" x14ac:dyDescent="0.3">
      <c r="A5" s="8" t="s">
        <v>365</v>
      </c>
      <c r="B5" s="8" t="s">
        <v>163</v>
      </c>
      <c r="C5" s="10" t="s">
        <v>366</v>
      </c>
      <c r="D5" s="8" t="s">
        <v>52</v>
      </c>
      <c r="E5" s="8" t="s">
        <v>53</v>
      </c>
      <c r="F5" s="11" t="s">
        <v>83</v>
      </c>
      <c r="G5" s="18" t="s">
        <v>32</v>
      </c>
      <c r="H5" s="13" t="s">
        <v>27</v>
      </c>
      <c r="I5" s="14" t="s">
        <v>115</v>
      </c>
      <c r="J5" s="14" t="s">
        <v>85</v>
      </c>
      <c r="K5" s="8" t="s">
        <v>367</v>
      </c>
      <c r="L5" s="8" t="s">
        <v>166</v>
      </c>
      <c r="M5" s="8" t="s">
        <v>176</v>
      </c>
    </row>
    <row r="6" spans="1:13" ht="15" customHeight="1" x14ac:dyDescent="0.3">
      <c r="A6" s="146" t="s">
        <v>704</v>
      </c>
      <c r="B6" s="146"/>
      <c r="C6" s="146"/>
      <c r="D6" s="146"/>
      <c r="E6" s="146"/>
      <c r="F6" s="146"/>
      <c r="G6" s="146"/>
      <c r="H6" s="146"/>
      <c r="I6" s="146"/>
      <c r="J6" s="146"/>
      <c r="K6" s="146"/>
      <c r="L6" s="146"/>
      <c r="M6" s="146"/>
    </row>
    <row r="7" spans="1:13" x14ac:dyDescent="0.3">
      <c r="A7" s="8" t="s">
        <v>368</v>
      </c>
      <c r="B7" s="8" t="s">
        <v>163</v>
      </c>
      <c r="C7" s="10" t="s">
        <v>369</v>
      </c>
      <c r="D7" s="8" t="s">
        <v>52</v>
      </c>
      <c r="E7" s="8" t="s">
        <v>54</v>
      </c>
      <c r="F7" s="11" t="s">
        <v>83</v>
      </c>
      <c r="G7" s="12" t="s">
        <v>33</v>
      </c>
      <c r="H7" s="13" t="s">
        <v>27</v>
      </c>
      <c r="I7" s="14" t="s">
        <v>92</v>
      </c>
      <c r="J7" s="14" t="s">
        <v>85</v>
      </c>
      <c r="K7" s="8" t="s">
        <v>247</v>
      </c>
      <c r="L7" s="8" t="s">
        <v>166</v>
      </c>
      <c r="M7" s="8" t="s">
        <v>766</v>
      </c>
    </row>
    <row r="8" spans="1:13" ht="26.4" x14ac:dyDescent="0.3">
      <c r="A8" s="8" t="s">
        <v>371</v>
      </c>
      <c r="B8" s="8"/>
      <c r="C8" s="10" t="s">
        <v>372</v>
      </c>
      <c r="D8" s="8" t="s">
        <v>52</v>
      </c>
      <c r="E8" s="8" t="s">
        <v>54</v>
      </c>
      <c r="F8" s="11" t="s">
        <v>83</v>
      </c>
      <c r="G8" s="17" t="s">
        <v>34</v>
      </c>
      <c r="H8" s="13" t="s">
        <v>27</v>
      </c>
      <c r="I8" s="14" t="s">
        <v>92</v>
      </c>
      <c r="J8" s="14" t="s">
        <v>85</v>
      </c>
      <c r="K8" s="8" t="s">
        <v>86</v>
      </c>
      <c r="L8" s="8" t="s">
        <v>87</v>
      </c>
      <c r="M8" s="8" t="s">
        <v>766</v>
      </c>
    </row>
    <row r="9" spans="1:13" ht="15" customHeight="1" x14ac:dyDescent="0.3">
      <c r="A9" s="146" t="s">
        <v>705</v>
      </c>
      <c r="B9" s="146"/>
      <c r="C9" s="146"/>
      <c r="D9" s="146"/>
      <c r="E9" s="146"/>
      <c r="F9" s="146"/>
      <c r="G9" s="146"/>
      <c r="H9" s="146"/>
      <c r="I9" s="146"/>
      <c r="J9" s="146"/>
      <c r="K9" s="146"/>
      <c r="L9" s="146"/>
      <c r="M9" s="146"/>
    </row>
    <row r="10" spans="1:13" ht="26.4" x14ac:dyDescent="0.3">
      <c r="A10" s="8" t="s">
        <v>373</v>
      </c>
      <c r="B10" s="8" t="s">
        <v>163</v>
      </c>
      <c r="C10" s="10" t="s">
        <v>374</v>
      </c>
      <c r="D10" s="8" t="s">
        <v>52</v>
      </c>
      <c r="E10" s="8" t="s">
        <v>55</v>
      </c>
      <c r="F10" s="11" t="s">
        <v>83</v>
      </c>
      <c r="G10" s="18" t="s">
        <v>32</v>
      </c>
      <c r="H10" s="13" t="s">
        <v>27</v>
      </c>
      <c r="I10" s="14" t="s">
        <v>115</v>
      </c>
      <c r="J10" s="14" t="s">
        <v>85</v>
      </c>
      <c r="K10" s="8" t="s">
        <v>367</v>
      </c>
      <c r="L10" s="8" t="s">
        <v>166</v>
      </c>
      <c r="M10" s="8" t="s">
        <v>171</v>
      </c>
    </row>
    <row r="11" spans="1:13" ht="26.4" x14ac:dyDescent="0.3">
      <c r="A11" s="8" t="s">
        <v>375</v>
      </c>
      <c r="B11" s="8" t="s">
        <v>100</v>
      </c>
      <c r="C11" s="10" t="s">
        <v>376</v>
      </c>
      <c r="D11" s="8" t="s">
        <v>52</v>
      </c>
      <c r="E11" s="8" t="s">
        <v>55</v>
      </c>
      <c r="F11" s="16" t="s">
        <v>36</v>
      </c>
      <c r="G11" s="12" t="s">
        <v>33</v>
      </c>
      <c r="H11" s="12" t="s">
        <v>31</v>
      </c>
      <c r="I11" s="14" t="s">
        <v>115</v>
      </c>
      <c r="J11" s="14" t="s">
        <v>115</v>
      </c>
      <c r="K11" s="8" t="s">
        <v>377</v>
      </c>
      <c r="L11" s="8" t="s">
        <v>180</v>
      </c>
      <c r="M11" s="8"/>
    </row>
    <row r="12" spans="1:13" ht="26.4" x14ac:dyDescent="0.3">
      <c r="A12" s="8" t="s">
        <v>378</v>
      </c>
      <c r="B12" s="8"/>
      <c r="C12" s="10" t="s">
        <v>379</v>
      </c>
      <c r="D12" s="8" t="s">
        <v>52</v>
      </c>
      <c r="E12" s="8" t="s">
        <v>55</v>
      </c>
      <c r="F12" s="11" t="s">
        <v>83</v>
      </c>
      <c r="G12" s="12" t="s">
        <v>33</v>
      </c>
      <c r="H12" s="13" t="s">
        <v>27</v>
      </c>
      <c r="I12" s="14" t="s">
        <v>84</v>
      </c>
      <c r="J12" s="14" t="s">
        <v>85</v>
      </c>
      <c r="K12" s="8" t="s">
        <v>86</v>
      </c>
      <c r="L12" s="8" t="s">
        <v>86</v>
      </c>
      <c r="M12" s="8"/>
    </row>
    <row r="13" spans="1:13" x14ac:dyDescent="0.3">
      <c r="A13" s="8" t="s">
        <v>380</v>
      </c>
      <c r="B13" s="8"/>
      <c r="C13" s="10" t="s">
        <v>381</v>
      </c>
      <c r="D13" s="8" t="s">
        <v>52</v>
      </c>
      <c r="E13" s="8" t="s">
        <v>55</v>
      </c>
      <c r="F13" s="11" t="s">
        <v>83</v>
      </c>
      <c r="G13" s="17" t="s">
        <v>34</v>
      </c>
      <c r="H13" s="13" t="s">
        <v>27</v>
      </c>
      <c r="I13" s="14" t="s">
        <v>92</v>
      </c>
      <c r="J13" s="14" t="s">
        <v>382</v>
      </c>
      <c r="K13" s="8" t="s">
        <v>242</v>
      </c>
      <c r="L13" s="8" t="s">
        <v>242</v>
      </c>
      <c r="M13" s="8"/>
    </row>
    <row r="14" spans="1:13" ht="15" customHeight="1" x14ac:dyDescent="0.3">
      <c r="A14" s="146" t="s">
        <v>706</v>
      </c>
      <c r="B14" s="146"/>
      <c r="C14" s="146"/>
      <c r="D14" s="146"/>
      <c r="E14" s="146"/>
      <c r="F14" s="146"/>
      <c r="G14" s="146"/>
      <c r="H14" s="146"/>
      <c r="I14" s="146"/>
      <c r="J14" s="146"/>
      <c r="K14" s="146"/>
      <c r="L14" s="146"/>
      <c r="M14" s="146"/>
    </row>
    <row r="15" spans="1:13" ht="26.4" x14ac:dyDescent="0.3">
      <c r="A15" s="8" t="s">
        <v>383</v>
      </c>
      <c r="B15" s="8"/>
      <c r="C15" s="10" t="s">
        <v>384</v>
      </c>
      <c r="D15" s="8" t="s">
        <v>52</v>
      </c>
      <c r="E15" s="8" t="s">
        <v>56</v>
      </c>
      <c r="F15" s="11" t="s">
        <v>83</v>
      </c>
      <c r="G15" s="12" t="s">
        <v>33</v>
      </c>
      <c r="H15" s="13" t="s">
        <v>27</v>
      </c>
      <c r="I15" s="14" t="s">
        <v>84</v>
      </c>
      <c r="J15" s="14" t="s">
        <v>85</v>
      </c>
      <c r="K15" s="8" t="s">
        <v>86</v>
      </c>
      <c r="L15" s="8" t="s">
        <v>153</v>
      </c>
      <c r="M15" s="8"/>
    </row>
    <row r="16" spans="1:13" ht="15" customHeight="1" x14ac:dyDescent="0.3">
      <c r="A16" s="146" t="s">
        <v>707</v>
      </c>
      <c r="B16" s="146"/>
      <c r="C16" s="146"/>
      <c r="D16" s="146"/>
      <c r="E16" s="146"/>
      <c r="F16" s="146"/>
      <c r="G16" s="146"/>
      <c r="H16" s="146"/>
      <c r="I16" s="146"/>
      <c r="J16" s="146"/>
      <c r="K16" s="146"/>
      <c r="L16" s="146"/>
      <c r="M16" s="146"/>
    </row>
    <row r="17" spans="1:13" ht="26.4" x14ac:dyDescent="0.3">
      <c r="A17" s="8" t="s">
        <v>385</v>
      </c>
      <c r="B17" s="8" t="s">
        <v>100</v>
      </c>
      <c r="C17" s="10" t="s">
        <v>386</v>
      </c>
      <c r="D17" s="8" t="s">
        <v>52</v>
      </c>
      <c r="E17" s="8" t="s">
        <v>57</v>
      </c>
      <c r="F17" s="11" t="s">
        <v>83</v>
      </c>
      <c r="G17" s="18" t="s">
        <v>32</v>
      </c>
      <c r="H17" s="13" t="s">
        <v>27</v>
      </c>
      <c r="I17" s="14" t="s">
        <v>115</v>
      </c>
      <c r="J17" s="14" t="s">
        <v>85</v>
      </c>
      <c r="K17" s="8" t="s">
        <v>387</v>
      </c>
      <c r="L17" s="8" t="s">
        <v>387</v>
      </c>
      <c r="M17" s="8" t="s">
        <v>198</v>
      </c>
    </row>
    <row r="18" spans="1:13" ht="26.4" x14ac:dyDescent="0.3">
      <c r="A18" s="8" t="s">
        <v>388</v>
      </c>
      <c r="B18" s="8"/>
      <c r="C18" s="10" t="s">
        <v>389</v>
      </c>
      <c r="D18" s="8" t="s">
        <v>52</v>
      </c>
      <c r="E18" s="8" t="s">
        <v>57</v>
      </c>
      <c r="F18" s="11" t="s">
        <v>83</v>
      </c>
      <c r="G18" s="18" t="s">
        <v>32</v>
      </c>
      <c r="H18" s="12" t="s">
        <v>31</v>
      </c>
      <c r="I18" s="14" t="s">
        <v>84</v>
      </c>
      <c r="J18" s="14" t="s">
        <v>84</v>
      </c>
      <c r="K18" s="8" t="s">
        <v>98</v>
      </c>
      <c r="L18" s="8" t="s">
        <v>129</v>
      </c>
      <c r="M18" s="8"/>
    </row>
    <row r="19" spans="1:13" ht="26.4" x14ac:dyDescent="0.3">
      <c r="A19" s="8" t="s">
        <v>390</v>
      </c>
      <c r="B19" s="8"/>
      <c r="C19" s="10" t="s">
        <v>391</v>
      </c>
      <c r="D19" s="8" t="s">
        <v>52</v>
      </c>
      <c r="E19" s="8" t="s">
        <v>57</v>
      </c>
      <c r="F19" s="15" t="s">
        <v>37</v>
      </c>
      <c r="G19" s="18" t="s">
        <v>32</v>
      </c>
      <c r="H19" s="13" t="s">
        <v>27</v>
      </c>
      <c r="I19" s="14" t="s">
        <v>92</v>
      </c>
      <c r="J19" s="14" t="s">
        <v>84</v>
      </c>
      <c r="K19" s="8" t="s">
        <v>129</v>
      </c>
      <c r="L19" s="8" t="s">
        <v>129</v>
      </c>
      <c r="M19" s="8"/>
    </row>
    <row r="20" spans="1:13" ht="26.4" x14ac:dyDescent="0.3">
      <c r="A20" s="8" t="s">
        <v>392</v>
      </c>
      <c r="B20" s="8" t="s">
        <v>100</v>
      </c>
      <c r="C20" s="10" t="s">
        <v>393</v>
      </c>
      <c r="D20" s="8" t="s">
        <v>52</v>
      </c>
      <c r="E20" s="8" t="s">
        <v>57</v>
      </c>
      <c r="F20" s="11" t="s">
        <v>83</v>
      </c>
      <c r="G20" s="12" t="s">
        <v>33</v>
      </c>
      <c r="H20" s="13" t="s">
        <v>27</v>
      </c>
      <c r="I20" s="14" t="s">
        <v>115</v>
      </c>
      <c r="J20" s="14" t="s">
        <v>85</v>
      </c>
      <c r="K20" s="8" t="s">
        <v>300</v>
      </c>
      <c r="L20" s="8" t="s">
        <v>300</v>
      </c>
      <c r="M20" s="8" t="s">
        <v>394</v>
      </c>
    </row>
    <row r="21" spans="1:13" x14ac:dyDescent="0.3">
      <c r="A21" s="8" t="s">
        <v>395</v>
      </c>
      <c r="B21" s="8" t="s">
        <v>100</v>
      </c>
      <c r="C21" s="10" t="s">
        <v>396</v>
      </c>
      <c r="D21" s="8" t="s">
        <v>52</v>
      </c>
      <c r="E21" s="8" t="s">
        <v>57</v>
      </c>
      <c r="F21" s="15" t="s">
        <v>37</v>
      </c>
      <c r="G21" s="12" t="s">
        <v>33</v>
      </c>
      <c r="H21" s="16" t="s">
        <v>28</v>
      </c>
      <c r="I21" s="14" t="s">
        <v>92</v>
      </c>
      <c r="J21" s="14" t="s">
        <v>92</v>
      </c>
      <c r="K21" s="8" t="s">
        <v>309</v>
      </c>
      <c r="L21" s="8" t="s">
        <v>309</v>
      </c>
      <c r="M21" s="8" t="s">
        <v>176</v>
      </c>
    </row>
    <row r="22" spans="1:13" ht="15" customHeight="1" x14ac:dyDescent="0.3">
      <c r="A22" s="146" t="s">
        <v>708</v>
      </c>
      <c r="B22" s="146"/>
      <c r="C22" s="146"/>
      <c r="D22" s="146"/>
      <c r="E22" s="146"/>
      <c r="F22" s="146"/>
      <c r="G22" s="146"/>
      <c r="H22" s="146"/>
      <c r="I22" s="146"/>
      <c r="J22" s="146"/>
      <c r="K22" s="146"/>
      <c r="L22" s="146"/>
      <c r="M22" s="146"/>
    </row>
    <row r="23" spans="1:13" ht="26.4" x14ac:dyDescent="0.3">
      <c r="A23" s="8" t="s">
        <v>397</v>
      </c>
      <c r="B23" s="8"/>
      <c r="C23" s="10" t="s">
        <v>398</v>
      </c>
      <c r="D23" s="8" t="s">
        <v>52</v>
      </c>
      <c r="E23" s="8" t="s">
        <v>58</v>
      </c>
      <c r="F23" s="11" t="s">
        <v>83</v>
      </c>
      <c r="G23" s="18" t="s">
        <v>32</v>
      </c>
      <c r="H23" s="13" t="s">
        <v>27</v>
      </c>
      <c r="I23" s="14" t="s">
        <v>92</v>
      </c>
      <c r="J23" s="14" t="s">
        <v>84</v>
      </c>
      <c r="K23" s="8" t="s">
        <v>98</v>
      </c>
      <c r="L23" s="8" t="s">
        <v>87</v>
      </c>
      <c r="M23" s="8"/>
    </row>
    <row r="24" spans="1:13" ht="26.4" x14ac:dyDescent="0.3">
      <c r="A24" s="8" t="s">
        <v>399</v>
      </c>
      <c r="B24" s="8"/>
      <c r="C24" s="10" t="s">
        <v>400</v>
      </c>
      <c r="D24" s="8" t="s">
        <v>52</v>
      </c>
      <c r="E24" s="8" t="s">
        <v>58</v>
      </c>
      <c r="F24" s="11" t="s">
        <v>83</v>
      </c>
      <c r="G24" s="18" t="s">
        <v>32</v>
      </c>
      <c r="H24" s="13" t="s">
        <v>27</v>
      </c>
      <c r="I24" s="14" t="s">
        <v>92</v>
      </c>
      <c r="J24" s="14" t="s">
        <v>84</v>
      </c>
      <c r="K24" s="8" t="s">
        <v>98</v>
      </c>
      <c r="L24" s="8" t="s">
        <v>401</v>
      </c>
      <c r="M24" s="8"/>
    </row>
    <row r="25" spans="1:13" x14ac:dyDescent="0.3">
      <c r="A25" s="8" t="s">
        <v>402</v>
      </c>
      <c r="B25" s="8"/>
      <c r="C25" s="10" t="s">
        <v>403</v>
      </c>
      <c r="D25" s="8" t="s">
        <v>52</v>
      </c>
      <c r="E25" s="8" t="s">
        <v>58</v>
      </c>
      <c r="F25" s="11" t="s">
        <v>83</v>
      </c>
      <c r="G25" s="12" t="s">
        <v>33</v>
      </c>
      <c r="H25" s="19" t="s">
        <v>257</v>
      </c>
      <c r="I25" s="14" t="s">
        <v>92</v>
      </c>
      <c r="J25" s="14" t="s">
        <v>85</v>
      </c>
      <c r="K25" s="8" t="s">
        <v>86</v>
      </c>
      <c r="L25" s="8" t="s">
        <v>404</v>
      </c>
      <c r="M25" s="8"/>
    </row>
    <row r="26" spans="1:13" x14ac:dyDescent="0.3">
      <c r="A26" s="8" t="s">
        <v>405</v>
      </c>
      <c r="B26" s="8"/>
      <c r="C26" s="10" t="s">
        <v>406</v>
      </c>
      <c r="D26" s="8" t="s">
        <v>52</v>
      </c>
      <c r="E26" s="8" t="s">
        <v>58</v>
      </c>
      <c r="F26" s="11" t="s">
        <v>83</v>
      </c>
      <c r="G26" s="12" t="s">
        <v>33</v>
      </c>
      <c r="H26" s="16" t="s">
        <v>28</v>
      </c>
      <c r="I26" s="14" t="s">
        <v>92</v>
      </c>
      <c r="J26" s="14" t="s">
        <v>85</v>
      </c>
      <c r="K26" s="8" t="s">
        <v>86</v>
      </c>
      <c r="L26" s="8" t="s">
        <v>129</v>
      </c>
      <c r="M26" s="8"/>
    </row>
    <row r="27" spans="1:13" x14ac:dyDescent="0.3">
      <c r="A27" s="8" t="s">
        <v>407</v>
      </c>
      <c r="B27" s="8"/>
      <c r="C27" s="10" t="s">
        <v>408</v>
      </c>
      <c r="D27" s="8" t="s">
        <v>52</v>
      </c>
      <c r="E27" s="8" t="s">
        <v>58</v>
      </c>
      <c r="F27" s="11" t="s">
        <v>83</v>
      </c>
      <c r="G27" s="12" t="s">
        <v>33</v>
      </c>
      <c r="H27" s="13" t="s">
        <v>27</v>
      </c>
      <c r="I27" s="14" t="s">
        <v>92</v>
      </c>
      <c r="J27" s="14" t="s">
        <v>85</v>
      </c>
      <c r="K27" s="8" t="s">
        <v>324</v>
      </c>
      <c r="L27" s="8" t="s">
        <v>201</v>
      </c>
      <c r="M27" s="8"/>
    </row>
    <row r="28" spans="1:13" ht="26.4" x14ac:dyDescent="0.3">
      <c r="A28" s="8" t="s">
        <v>409</v>
      </c>
      <c r="B28" s="8"/>
      <c r="C28" s="10" t="s">
        <v>410</v>
      </c>
      <c r="D28" s="8" t="s">
        <v>52</v>
      </c>
      <c r="E28" s="8" t="s">
        <v>58</v>
      </c>
      <c r="F28" s="11" t="s">
        <v>83</v>
      </c>
      <c r="G28" s="15" t="s">
        <v>35</v>
      </c>
      <c r="H28" s="13" t="s">
        <v>27</v>
      </c>
      <c r="I28" s="14" t="s">
        <v>84</v>
      </c>
      <c r="J28" s="14" t="s">
        <v>85</v>
      </c>
      <c r="K28" s="8" t="s">
        <v>401</v>
      </c>
      <c r="L28" s="8" t="s">
        <v>411</v>
      </c>
      <c r="M28" s="8"/>
    </row>
    <row r="29" spans="1:13" x14ac:dyDescent="0.3">
      <c r="A29" s="49" t="s">
        <v>820</v>
      </c>
      <c r="B29" s="49" t="s">
        <v>163</v>
      </c>
      <c r="C29" s="64" t="s">
        <v>821</v>
      </c>
      <c r="D29" s="51" t="s">
        <v>800</v>
      </c>
      <c r="E29" s="51" t="s">
        <v>58</v>
      </c>
      <c r="F29" s="51"/>
      <c r="G29" s="51" t="s">
        <v>32</v>
      </c>
      <c r="H29" s="49" t="s">
        <v>27</v>
      </c>
      <c r="I29" s="49" t="s">
        <v>92</v>
      </c>
      <c r="J29" s="49" t="s">
        <v>85</v>
      </c>
      <c r="K29" s="62">
        <v>46210.061111111114</v>
      </c>
      <c r="L29" s="62">
        <v>46210.460416666669</v>
      </c>
    </row>
    <row r="30" spans="1:13" ht="26.4" x14ac:dyDescent="0.3">
      <c r="A30" s="8" t="s">
        <v>412</v>
      </c>
      <c r="B30" s="8"/>
      <c r="C30" s="10" t="s">
        <v>413</v>
      </c>
      <c r="D30" s="8" t="s">
        <v>52</v>
      </c>
      <c r="E30" s="8" t="s">
        <v>58</v>
      </c>
      <c r="F30" s="15" t="s">
        <v>37</v>
      </c>
      <c r="G30" s="15" t="s">
        <v>35</v>
      </c>
      <c r="H30" s="13" t="s">
        <v>27</v>
      </c>
      <c r="I30" s="14" t="s">
        <v>92</v>
      </c>
      <c r="J30" s="14" t="s">
        <v>84</v>
      </c>
      <c r="K30" s="8" t="s">
        <v>411</v>
      </c>
      <c r="L30" s="8" t="s">
        <v>411</v>
      </c>
      <c r="M30" s="8"/>
    </row>
    <row r="31" spans="1:13" ht="15" customHeight="1" x14ac:dyDescent="0.3">
      <c r="A31" s="146" t="s">
        <v>709</v>
      </c>
      <c r="B31" s="146"/>
      <c r="C31" s="146"/>
      <c r="D31" s="146"/>
      <c r="E31" s="146"/>
      <c r="F31" s="146"/>
      <c r="G31" s="146"/>
      <c r="H31" s="146"/>
      <c r="I31" s="146"/>
      <c r="J31" s="146"/>
      <c r="K31" s="146"/>
      <c r="L31" s="146"/>
      <c r="M31" s="146"/>
    </row>
    <row r="32" spans="1:13" ht="26.4" x14ac:dyDescent="0.3">
      <c r="A32" s="8" t="s">
        <v>414</v>
      </c>
      <c r="B32" s="8" t="s">
        <v>100</v>
      </c>
      <c r="C32" s="10" t="s">
        <v>415</v>
      </c>
      <c r="D32" s="8" t="s">
        <v>52</v>
      </c>
      <c r="E32" s="8" t="s">
        <v>59</v>
      </c>
      <c r="F32" s="11" t="s">
        <v>83</v>
      </c>
      <c r="G32" s="12" t="s">
        <v>33</v>
      </c>
      <c r="H32" s="13" t="s">
        <v>27</v>
      </c>
      <c r="I32" s="14"/>
      <c r="J32" s="14" t="s">
        <v>115</v>
      </c>
      <c r="K32" s="8" t="s">
        <v>180</v>
      </c>
      <c r="L32" s="8" t="s">
        <v>180</v>
      </c>
      <c r="M32" s="8" t="s">
        <v>171</v>
      </c>
    </row>
    <row r="33" spans="1:13" ht="26.4" x14ac:dyDescent="0.3">
      <c r="A33" s="8" t="s">
        <v>416</v>
      </c>
      <c r="B33" s="8"/>
      <c r="C33" s="10" t="s">
        <v>417</v>
      </c>
      <c r="D33" s="8" t="s">
        <v>52</v>
      </c>
      <c r="E33" s="8" t="s">
        <v>59</v>
      </c>
      <c r="F33" s="11" t="s">
        <v>83</v>
      </c>
      <c r="G33" s="12" t="s">
        <v>33</v>
      </c>
      <c r="H33" s="13" t="s">
        <v>27</v>
      </c>
      <c r="I33" s="14" t="s">
        <v>84</v>
      </c>
      <c r="J33" s="14" t="s">
        <v>85</v>
      </c>
      <c r="K33" s="8" t="s">
        <v>86</v>
      </c>
      <c r="L33" s="8" t="s">
        <v>86</v>
      </c>
      <c r="M33" s="8"/>
    </row>
    <row r="34" spans="1:13" ht="26.4" x14ac:dyDescent="0.3">
      <c r="A34" s="8" t="s">
        <v>418</v>
      </c>
      <c r="B34" s="8"/>
      <c r="C34" s="10" t="s">
        <v>419</v>
      </c>
      <c r="D34" s="8" t="s">
        <v>52</v>
      </c>
      <c r="E34" s="8" t="s">
        <v>59</v>
      </c>
      <c r="F34" s="11" t="s">
        <v>83</v>
      </c>
      <c r="G34" s="12" t="s">
        <v>33</v>
      </c>
      <c r="H34" s="13" t="s">
        <v>27</v>
      </c>
      <c r="I34" s="14" t="s">
        <v>84</v>
      </c>
      <c r="J34" s="14" t="s">
        <v>85</v>
      </c>
      <c r="K34" s="8" t="s">
        <v>86</v>
      </c>
      <c r="L34" s="8" t="s">
        <v>86</v>
      </c>
      <c r="M34" s="8"/>
    </row>
    <row r="35" spans="1:13" ht="15" customHeight="1" x14ac:dyDescent="0.3">
      <c r="A35" s="146" t="s">
        <v>710</v>
      </c>
      <c r="B35" s="146"/>
      <c r="C35" s="146"/>
      <c r="D35" s="146"/>
      <c r="E35" s="146"/>
      <c r="F35" s="146"/>
      <c r="G35" s="146"/>
      <c r="H35" s="146"/>
      <c r="I35" s="146"/>
      <c r="J35" s="146"/>
      <c r="K35" s="146"/>
      <c r="L35" s="146"/>
      <c r="M35" s="146"/>
    </row>
    <row r="36" spans="1:13" ht="26.4" x14ac:dyDescent="0.3">
      <c r="A36" s="8" t="s">
        <v>420</v>
      </c>
      <c r="B36" s="8"/>
      <c r="C36" s="10" t="s">
        <v>421</v>
      </c>
      <c r="D36" s="8" t="s">
        <v>52</v>
      </c>
      <c r="E36" s="8" t="s">
        <v>60</v>
      </c>
      <c r="F36" s="11" t="s">
        <v>83</v>
      </c>
      <c r="G36" s="18" t="s">
        <v>32</v>
      </c>
      <c r="H36" s="13" t="s">
        <v>27</v>
      </c>
      <c r="I36" s="14" t="s">
        <v>92</v>
      </c>
      <c r="J36" s="14" t="s">
        <v>84</v>
      </c>
      <c r="K36" s="8" t="s">
        <v>98</v>
      </c>
      <c r="L36" s="8" t="s">
        <v>422</v>
      </c>
      <c r="M36" s="8"/>
    </row>
    <row r="37" spans="1:13" ht="26.4" x14ac:dyDescent="0.3">
      <c r="A37" s="8" t="s">
        <v>423</v>
      </c>
      <c r="B37" s="8"/>
      <c r="C37" s="35" t="s">
        <v>424</v>
      </c>
      <c r="D37" s="8" t="s">
        <v>52</v>
      </c>
      <c r="E37" s="8" t="s">
        <v>60</v>
      </c>
      <c r="F37" s="11" t="s">
        <v>83</v>
      </c>
      <c r="G37" s="18" t="s">
        <v>32</v>
      </c>
      <c r="H37" s="13" t="s">
        <v>27</v>
      </c>
      <c r="I37" s="14" t="s">
        <v>84</v>
      </c>
      <c r="J37" s="14" t="s">
        <v>85</v>
      </c>
      <c r="K37" s="8" t="s">
        <v>146</v>
      </c>
      <c r="L37" s="8" t="s">
        <v>149</v>
      </c>
      <c r="M37" s="8"/>
    </row>
    <row r="38" spans="1:13" ht="26.4" x14ac:dyDescent="0.3">
      <c r="A38" s="8" t="s">
        <v>425</v>
      </c>
      <c r="B38" s="8"/>
      <c r="C38" s="35" t="s">
        <v>426</v>
      </c>
      <c r="D38" s="8" t="s">
        <v>52</v>
      </c>
      <c r="E38" s="8" t="s">
        <v>60</v>
      </c>
      <c r="F38" s="11" t="s">
        <v>83</v>
      </c>
      <c r="G38" s="18" t="s">
        <v>32</v>
      </c>
      <c r="H38" s="13" t="s">
        <v>27</v>
      </c>
      <c r="I38" s="14" t="s">
        <v>84</v>
      </c>
      <c r="J38" s="14" t="s">
        <v>85</v>
      </c>
      <c r="K38" s="8" t="s">
        <v>146</v>
      </c>
      <c r="L38" s="8" t="s">
        <v>149</v>
      </c>
      <c r="M38" s="8"/>
    </row>
    <row r="39" spans="1:13" ht="26.4" x14ac:dyDescent="0.3">
      <c r="A39" s="8" t="s">
        <v>427</v>
      </c>
      <c r="B39" s="8" t="s">
        <v>100</v>
      </c>
      <c r="C39" s="10" t="s">
        <v>428</v>
      </c>
      <c r="D39" s="8" t="s">
        <v>52</v>
      </c>
      <c r="E39" s="8" t="s">
        <v>60</v>
      </c>
      <c r="F39" s="11" t="s">
        <v>83</v>
      </c>
      <c r="G39" s="12" t="s">
        <v>33</v>
      </c>
      <c r="H39" s="16" t="s">
        <v>28</v>
      </c>
      <c r="I39" s="14"/>
      <c r="J39" s="14" t="s">
        <v>115</v>
      </c>
      <c r="K39" s="8" t="s">
        <v>180</v>
      </c>
      <c r="L39" s="8" t="s">
        <v>180</v>
      </c>
      <c r="M39" s="8" t="s">
        <v>28</v>
      </c>
    </row>
    <row r="40" spans="1:13" ht="26.4" x14ac:dyDescent="0.3">
      <c r="A40" s="8" t="s">
        <v>429</v>
      </c>
      <c r="B40" s="8" t="s">
        <v>100</v>
      </c>
      <c r="C40" s="10" t="s">
        <v>430</v>
      </c>
      <c r="D40" s="8" t="s">
        <v>52</v>
      </c>
      <c r="E40" s="8" t="s">
        <v>60</v>
      </c>
      <c r="F40" s="11" t="s">
        <v>83</v>
      </c>
      <c r="G40" s="12" t="s">
        <v>33</v>
      </c>
      <c r="H40" s="13" t="s">
        <v>27</v>
      </c>
      <c r="I40" s="14" t="s">
        <v>115</v>
      </c>
      <c r="J40" s="14" t="s">
        <v>85</v>
      </c>
      <c r="K40" s="8" t="s">
        <v>431</v>
      </c>
      <c r="L40" s="8" t="s">
        <v>431</v>
      </c>
      <c r="M40" s="8" t="s">
        <v>171</v>
      </c>
    </row>
    <row r="41" spans="1:13" ht="26.4" x14ac:dyDescent="0.3">
      <c r="A41" s="8" t="s">
        <v>432</v>
      </c>
      <c r="B41" s="8"/>
      <c r="C41" s="10" t="s">
        <v>433</v>
      </c>
      <c r="D41" s="8" t="s">
        <v>52</v>
      </c>
      <c r="E41" s="8" t="s">
        <v>60</v>
      </c>
      <c r="F41" s="11" t="s">
        <v>83</v>
      </c>
      <c r="G41" s="12" t="s">
        <v>33</v>
      </c>
      <c r="H41" s="13" t="s">
        <v>27</v>
      </c>
      <c r="I41" s="14" t="s">
        <v>92</v>
      </c>
      <c r="J41" s="14" t="s">
        <v>85</v>
      </c>
      <c r="K41" s="8" t="s">
        <v>86</v>
      </c>
      <c r="L41" s="8" t="s">
        <v>87</v>
      </c>
      <c r="M41" s="8"/>
    </row>
    <row r="42" spans="1:13" x14ac:dyDescent="0.3">
      <c r="A42" s="8" t="s">
        <v>434</v>
      </c>
      <c r="B42" s="8"/>
      <c r="C42" s="10" t="s">
        <v>435</v>
      </c>
      <c r="D42" s="8" t="s">
        <v>52</v>
      </c>
      <c r="E42" s="8" t="s">
        <v>60</v>
      </c>
      <c r="F42" s="11" t="s">
        <v>83</v>
      </c>
      <c r="G42" s="12" t="s">
        <v>33</v>
      </c>
      <c r="H42" s="15" t="s">
        <v>29</v>
      </c>
      <c r="I42" s="14" t="s">
        <v>92</v>
      </c>
      <c r="J42" s="14" t="s">
        <v>85</v>
      </c>
      <c r="K42" s="8" t="s">
        <v>86</v>
      </c>
      <c r="L42" s="8" t="s">
        <v>158</v>
      </c>
      <c r="M42" s="8"/>
    </row>
    <row r="43" spans="1:13" ht="26.4" x14ac:dyDescent="0.3">
      <c r="A43" s="8" t="s">
        <v>436</v>
      </c>
      <c r="B43" s="8"/>
      <c r="C43" s="35" t="s">
        <v>437</v>
      </c>
      <c r="D43" s="8" t="s">
        <v>52</v>
      </c>
      <c r="E43" s="8" t="s">
        <v>60</v>
      </c>
      <c r="F43" s="11" t="s">
        <v>83</v>
      </c>
      <c r="G43" s="12" t="s">
        <v>33</v>
      </c>
      <c r="H43" s="13" t="s">
        <v>27</v>
      </c>
      <c r="I43" s="14" t="s">
        <v>92</v>
      </c>
      <c r="J43" s="14" t="s">
        <v>85</v>
      </c>
      <c r="K43" s="8" t="s">
        <v>86</v>
      </c>
      <c r="L43" s="8" t="s">
        <v>201</v>
      </c>
      <c r="M43" s="8"/>
    </row>
    <row r="44" spans="1:13" ht="26.4" x14ac:dyDescent="0.3">
      <c r="A44" s="8" t="s">
        <v>438</v>
      </c>
      <c r="B44" s="8"/>
      <c r="C44" s="35" t="s">
        <v>776</v>
      </c>
      <c r="D44" s="8" t="s">
        <v>52</v>
      </c>
      <c r="E44" s="8" t="s">
        <v>60</v>
      </c>
      <c r="F44" s="11" t="s">
        <v>83</v>
      </c>
      <c r="G44" s="12" t="s">
        <v>33</v>
      </c>
      <c r="H44" s="13" t="s">
        <v>27</v>
      </c>
      <c r="I44" s="14" t="s">
        <v>92</v>
      </c>
      <c r="J44" s="14" t="s">
        <v>85</v>
      </c>
      <c r="K44" s="8" t="s">
        <v>86</v>
      </c>
      <c r="L44" s="8" t="s">
        <v>158</v>
      </c>
      <c r="M44" s="8"/>
    </row>
    <row r="45" spans="1:13" ht="26.4" x14ac:dyDescent="0.3">
      <c r="A45" s="8" t="s">
        <v>440</v>
      </c>
      <c r="B45" s="8"/>
      <c r="C45" s="10" t="s">
        <v>441</v>
      </c>
      <c r="D45" s="8" t="s">
        <v>52</v>
      </c>
      <c r="E45" s="8" t="s">
        <v>60</v>
      </c>
      <c r="F45" s="11" t="s">
        <v>83</v>
      </c>
      <c r="G45" s="12" t="s">
        <v>33</v>
      </c>
      <c r="H45" s="16" t="s">
        <v>28</v>
      </c>
      <c r="I45" s="14" t="s">
        <v>84</v>
      </c>
      <c r="J45" s="14" t="s">
        <v>85</v>
      </c>
      <c r="K45" s="8" t="s">
        <v>86</v>
      </c>
      <c r="L45" s="8" t="s">
        <v>442</v>
      </c>
      <c r="M45" s="8"/>
    </row>
    <row r="46" spans="1:13" ht="39.6" x14ac:dyDescent="0.3">
      <c r="A46" s="8" t="s">
        <v>443</v>
      </c>
      <c r="B46" s="8"/>
      <c r="C46" s="29" t="s">
        <v>444</v>
      </c>
      <c r="D46" s="8" t="s">
        <v>52</v>
      </c>
      <c r="E46" s="8" t="s">
        <v>60</v>
      </c>
      <c r="F46" s="11" t="s">
        <v>83</v>
      </c>
      <c r="G46" s="12" t="s">
        <v>33</v>
      </c>
      <c r="H46" s="16" t="s">
        <v>28</v>
      </c>
      <c r="I46" s="14" t="s">
        <v>92</v>
      </c>
      <c r="J46" s="14" t="s">
        <v>85</v>
      </c>
      <c r="K46" s="8" t="s">
        <v>95</v>
      </c>
      <c r="L46" s="8" t="s">
        <v>201</v>
      </c>
      <c r="M46" s="28" t="s">
        <v>768</v>
      </c>
    </row>
    <row r="47" spans="1:13" ht="26.4" x14ac:dyDescent="0.3">
      <c r="A47" s="8" t="s">
        <v>445</v>
      </c>
      <c r="B47" s="8"/>
      <c r="C47" s="10" t="s">
        <v>446</v>
      </c>
      <c r="D47" s="8" t="s">
        <v>52</v>
      </c>
      <c r="E47" s="8" t="s">
        <v>60</v>
      </c>
      <c r="F47" s="11" t="s">
        <v>83</v>
      </c>
      <c r="G47" s="12" t="s">
        <v>33</v>
      </c>
      <c r="H47" s="13" t="s">
        <v>27</v>
      </c>
      <c r="I47" s="14" t="s">
        <v>84</v>
      </c>
      <c r="J47" s="14" t="s">
        <v>84</v>
      </c>
      <c r="K47" s="8" t="s">
        <v>98</v>
      </c>
      <c r="L47" s="8" t="s">
        <v>87</v>
      </c>
      <c r="M47" s="8" t="s">
        <v>726</v>
      </c>
    </row>
    <row r="48" spans="1:13" ht="26.4" x14ac:dyDescent="0.3">
      <c r="A48" s="8" t="s">
        <v>447</v>
      </c>
      <c r="B48" s="8"/>
      <c r="C48" s="10" t="s">
        <v>448</v>
      </c>
      <c r="D48" s="8" t="s">
        <v>52</v>
      </c>
      <c r="E48" s="8" t="s">
        <v>60</v>
      </c>
      <c r="F48" s="11" t="s">
        <v>83</v>
      </c>
      <c r="G48" s="12" t="s">
        <v>33</v>
      </c>
      <c r="H48" s="13" t="s">
        <v>27</v>
      </c>
      <c r="I48" s="14" t="s">
        <v>84</v>
      </c>
      <c r="J48" s="14" t="s">
        <v>85</v>
      </c>
      <c r="K48" s="8" t="s">
        <v>401</v>
      </c>
      <c r="L48" s="8" t="s">
        <v>401</v>
      </c>
      <c r="M48" s="8"/>
    </row>
    <row r="49" spans="1:13" ht="26.4" x14ac:dyDescent="0.3">
      <c r="A49" s="8" t="s">
        <v>449</v>
      </c>
      <c r="B49" s="8"/>
      <c r="C49" s="10" t="s">
        <v>450</v>
      </c>
      <c r="D49" s="8" t="s">
        <v>52</v>
      </c>
      <c r="E49" s="8" t="s">
        <v>60</v>
      </c>
      <c r="F49" s="16" t="s">
        <v>36</v>
      </c>
      <c r="G49" s="12" t="s">
        <v>33</v>
      </c>
      <c r="H49" s="15" t="s">
        <v>29</v>
      </c>
      <c r="I49" s="14" t="s">
        <v>84</v>
      </c>
      <c r="J49" s="14" t="s">
        <v>84</v>
      </c>
      <c r="K49" s="8" t="s">
        <v>158</v>
      </c>
      <c r="L49" s="8" t="s">
        <v>158</v>
      </c>
      <c r="M49" s="8"/>
    </row>
    <row r="50" spans="1:13" ht="26.4" x14ac:dyDescent="0.3">
      <c r="A50" s="8" t="s">
        <v>451</v>
      </c>
      <c r="B50" s="8"/>
      <c r="C50" s="10" t="s">
        <v>452</v>
      </c>
      <c r="D50" s="8" t="s">
        <v>52</v>
      </c>
      <c r="E50" s="8" t="s">
        <v>60</v>
      </c>
      <c r="F50" s="11" t="s">
        <v>83</v>
      </c>
      <c r="G50" s="17" t="s">
        <v>34</v>
      </c>
      <c r="H50" s="13" t="s">
        <v>27</v>
      </c>
      <c r="I50" s="14" t="s">
        <v>84</v>
      </c>
      <c r="J50" s="14" t="s">
        <v>85</v>
      </c>
      <c r="K50" s="8" t="s">
        <v>86</v>
      </c>
      <c r="L50" s="8" t="s">
        <v>86</v>
      </c>
      <c r="M50" s="8"/>
    </row>
    <row r="51" spans="1:13" x14ac:dyDescent="0.3">
      <c r="A51" s="45" t="s">
        <v>797</v>
      </c>
      <c r="B51" s="45" t="s">
        <v>163</v>
      </c>
      <c r="C51" s="45" t="s">
        <v>792</v>
      </c>
      <c r="D51" s="46" t="s">
        <v>800</v>
      </c>
      <c r="E51" s="46" t="s">
        <v>60</v>
      </c>
      <c r="F51" s="45"/>
      <c r="G51" s="47" t="s">
        <v>32</v>
      </c>
      <c r="H51" s="47" t="s">
        <v>27</v>
      </c>
      <c r="I51" s="45" t="s">
        <v>92</v>
      </c>
      <c r="J51" s="45" t="s">
        <v>85</v>
      </c>
      <c r="K51" s="48">
        <v>46203.838194444441</v>
      </c>
      <c r="L51" s="48">
        <v>46204.413194444445</v>
      </c>
    </row>
    <row r="52" spans="1:13" ht="28.8" x14ac:dyDescent="0.3">
      <c r="A52" s="49" t="s">
        <v>816</v>
      </c>
      <c r="B52" s="49" t="s">
        <v>163</v>
      </c>
      <c r="C52" s="64" t="s">
        <v>817</v>
      </c>
      <c r="D52" s="51" t="s">
        <v>800</v>
      </c>
      <c r="E52" s="51" t="s">
        <v>767</v>
      </c>
      <c r="F52" s="51"/>
      <c r="G52" s="51" t="s">
        <v>33</v>
      </c>
      <c r="H52" s="49" t="s">
        <v>27</v>
      </c>
      <c r="I52" s="49" t="s">
        <v>84</v>
      </c>
      <c r="J52" s="49" t="s">
        <v>85</v>
      </c>
      <c r="K52" s="62">
        <v>46210.981944444444</v>
      </c>
      <c r="L52" s="62">
        <v>46210.981944444444</v>
      </c>
    </row>
    <row r="53" spans="1:13" ht="26.4" x14ac:dyDescent="0.3">
      <c r="A53" s="8" t="s">
        <v>453</v>
      </c>
      <c r="B53" s="8"/>
      <c r="C53" s="10" t="s">
        <v>454</v>
      </c>
      <c r="D53" s="8" t="s">
        <v>52</v>
      </c>
      <c r="E53" s="8" t="s">
        <v>60</v>
      </c>
      <c r="F53" s="11" t="s">
        <v>83</v>
      </c>
      <c r="G53" s="15" t="s">
        <v>35</v>
      </c>
      <c r="H53" s="13" t="s">
        <v>27</v>
      </c>
      <c r="I53" s="14" t="s">
        <v>84</v>
      </c>
      <c r="J53" s="14" t="s">
        <v>382</v>
      </c>
      <c r="K53" s="8" t="s">
        <v>161</v>
      </c>
      <c r="L53" s="8" t="s">
        <v>161</v>
      </c>
      <c r="M53" s="8"/>
    </row>
    <row r="54" spans="1:13" ht="15" customHeight="1" x14ac:dyDescent="0.3">
      <c r="A54" s="146" t="s">
        <v>711</v>
      </c>
      <c r="B54" s="146"/>
      <c r="C54" s="146"/>
      <c r="D54" s="146"/>
      <c r="E54" s="146"/>
      <c r="F54" s="146"/>
      <c r="G54" s="146"/>
      <c r="H54" s="146"/>
      <c r="I54" s="146"/>
      <c r="J54" s="146"/>
      <c r="K54" s="146"/>
      <c r="L54" s="146"/>
      <c r="M54" s="146"/>
    </row>
    <row r="55" spans="1:13" ht="26.4" x14ac:dyDescent="0.3">
      <c r="A55" s="8" t="s">
        <v>455</v>
      </c>
      <c r="B55" s="8"/>
      <c r="C55" s="10" t="s">
        <v>456</v>
      </c>
      <c r="D55" s="8" t="s">
        <v>52</v>
      </c>
      <c r="E55" s="8" t="s">
        <v>61</v>
      </c>
      <c r="F55" s="11" t="s">
        <v>83</v>
      </c>
      <c r="G55" s="12" t="s">
        <v>33</v>
      </c>
      <c r="H55" s="13" t="s">
        <v>27</v>
      </c>
      <c r="I55" s="14" t="s">
        <v>84</v>
      </c>
      <c r="J55" s="14" t="s">
        <v>85</v>
      </c>
      <c r="K55" s="8" t="s">
        <v>86</v>
      </c>
      <c r="L55" s="8" t="s">
        <v>153</v>
      </c>
      <c r="M55" s="8"/>
    </row>
    <row r="56" spans="1:13" ht="12.6" customHeight="1" x14ac:dyDescent="0.3">
      <c r="A56" s="146" t="s">
        <v>712</v>
      </c>
      <c r="B56" s="146"/>
      <c r="C56" s="146"/>
      <c r="D56" s="146"/>
      <c r="E56" s="146"/>
      <c r="F56" s="146"/>
      <c r="G56" s="146"/>
      <c r="H56" s="146"/>
      <c r="I56" s="146"/>
      <c r="J56" s="146"/>
      <c r="K56" s="146"/>
      <c r="L56" s="146"/>
      <c r="M56" s="146"/>
    </row>
    <row r="57" spans="1:13" x14ac:dyDescent="0.3">
      <c r="A57" s="8" t="s">
        <v>457</v>
      </c>
      <c r="B57" s="8" t="s">
        <v>100</v>
      </c>
      <c r="C57" s="10" t="s">
        <v>458</v>
      </c>
      <c r="D57" s="8" t="s">
        <v>52</v>
      </c>
      <c r="E57" s="8" t="s">
        <v>62</v>
      </c>
      <c r="F57" s="15" t="s">
        <v>37</v>
      </c>
      <c r="G57" s="12" t="s">
        <v>33</v>
      </c>
      <c r="H57" s="16" t="s">
        <v>28</v>
      </c>
      <c r="I57" s="14" t="s">
        <v>92</v>
      </c>
      <c r="J57" s="14" t="s">
        <v>85</v>
      </c>
      <c r="K57" s="8" t="s">
        <v>459</v>
      </c>
      <c r="L57" s="8" t="s">
        <v>103</v>
      </c>
      <c r="M57" s="8" t="s">
        <v>171</v>
      </c>
    </row>
    <row r="58" spans="1:13" s="37" customFormat="1" ht="15.6" x14ac:dyDescent="0.3">
      <c r="A58" s="36" t="s">
        <v>723</v>
      </c>
    </row>
    <row r="59" spans="1:13" s="54" customFormat="1" ht="15.6" x14ac:dyDescent="0.3">
      <c r="A59" s="53"/>
      <c r="C59" s="55" t="s">
        <v>806</v>
      </c>
      <c r="D59" s="55" t="s">
        <v>24</v>
      </c>
    </row>
    <row r="60" spans="1:13" s="54" customFormat="1" ht="15.6" x14ac:dyDescent="0.3">
      <c r="A60" s="53"/>
      <c r="C60" s="86" t="s">
        <v>863</v>
      </c>
      <c r="D60" s="86"/>
      <c r="E60" s="72" t="s">
        <v>829</v>
      </c>
    </row>
    <row r="61" spans="1:13" ht="28.8" x14ac:dyDescent="0.3">
      <c r="B61" t="s">
        <v>950</v>
      </c>
      <c r="C61" s="45" t="s">
        <v>770</v>
      </c>
      <c r="D61" s="57" t="s">
        <v>879</v>
      </c>
      <c r="E61" s="38"/>
    </row>
    <row r="62" spans="1:13" ht="28.8" x14ac:dyDescent="0.3">
      <c r="B62" t="s">
        <v>951</v>
      </c>
      <c r="C62" s="45" t="s">
        <v>828</v>
      </c>
      <c r="D62" s="57" t="s">
        <v>879</v>
      </c>
      <c r="E62" s="71">
        <v>46210</v>
      </c>
    </row>
    <row r="63" spans="1:13" x14ac:dyDescent="0.3">
      <c r="C63" s="97" t="s">
        <v>826</v>
      </c>
      <c r="D63" s="98"/>
      <c r="E63" s="38"/>
    </row>
    <row r="64" spans="1:13" ht="28.8" x14ac:dyDescent="0.3">
      <c r="B64" t="s">
        <v>952</v>
      </c>
      <c r="C64" s="57" t="s">
        <v>774</v>
      </c>
      <c r="D64" s="70" t="s">
        <v>880</v>
      </c>
      <c r="E64" s="38"/>
    </row>
    <row r="65" spans="2:5" x14ac:dyDescent="0.3">
      <c r="B65" t="s">
        <v>953</v>
      </c>
      <c r="C65" s="45" t="s">
        <v>775</v>
      </c>
      <c r="D65" s="67" t="s">
        <v>771</v>
      </c>
      <c r="E65" s="38"/>
    </row>
    <row r="66" spans="2:5" x14ac:dyDescent="0.3">
      <c r="C66" s="99" t="s">
        <v>778</v>
      </c>
      <c r="D66" s="99"/>
      <c r="E66" s="38"/>
    </row>
    <row r="67" spans="2:5" x14ac:dyDescent="0.3">
      <c r="B67" t="s">
        <v>954</v>
      </c>
      <c r="C67" s="69" t="s">
        <v>779</v>
      </c>
      <c r="D67" s="45" t="s">
        <v>778</v>
      </c>
      <c r="E67" s="38"/>
    </row>
    <row r="68" spans="2:5" x14ac:dyDescent="0.3">
      <c r="C68" s="99" t="s">
        <v>827</v>
      </c>
      <c r="D68" s="99" t="s">
        <v>787</v>
      </c>
      <c r="E68" s="38"/>
    </row>
    <row r="69" spans="2:5" ht="43.2" x14ac:dyDescent="0.3">
      <c r="B69" t="s">
        <v>955</v>
      </c>
      <c r="C69" s="57" t="s">
        <v>788</v>
      </c>
      <c r="D69" s="45" t="s">
        <v>787</v>
      </c>
      <c r="E69" s="38"/>
    </row>
    <row r="70" spans="2:5" x14ac:dyDescent="0.3">
      <c r="B70" s="73" t="s">
        <v>881</v>
      </c>
      <c r="C70" s="95" t="s">
        <v>864</v>
      </c>
      <c r="D70" s="95" t="s">
        <v>787</v>
      </c>
      <c r="E70" t="s">
        <v>771</v>
      </c>
    </row>
  </sheetData>
  <mergeCells count="11">
    <mergeCell ref="A1:M1"/>
    <mergeCell ref="A4:M4"/>
    <mergeCell ref="A6:M6"/>
    <mergeCell ref="A9:M9"/>
    <mergeCell ref="A14:M14"/>
    <mergeCell ref="A56:M56"/>
    <mergeCell ref="A16:M16"/>
    <mergeCell ref="A22:M22"/>
    <mergeCell ref="A31:M31"/>
    <mergeCell ref="A35:M35"/>
    <mergeCell ref="A54:M54"/>
  </mergeCells>
  <hyperlinks>
    <hyperlink ref="D65" r:id="rId1" xr:uid="{5086776A-0A7E-4AED-AE41-2F854BC2FEE7}"/>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94"/>
  <sheetViews>
    <sheetView showGridLines="0" zoomScaleNormal="100" workbookViewId="0">
      <pane ySplit="3" topLeftCell="A81" activePane="bottomLeft" state="frozen"/>
      <selection pane="bottomLeft" activeCell="E114" sqref="E114"/>
    </sheetView>
  </sheetViews>
  <sheetFormatPr defaultColWidth="8.6640625" defaultRowHeight="14.4" x14ac:dyDescent="0.3"/>
  <cols>
    <col min="1" max="1" width="11" customWidth="1"/>
    <col min="2" max="2" width="9" customWidth="1"/>
    <col min="3" max="3" width="62" customWidth="1"/>
    <col min="4" max="4" width="18" customWidth="1"/>
    <col min="5" max="5" width="24" customWidth="1"/>
    <col min="6" max="6" width="7" customWidth="1"/>
    <col min="7" max="7" width="10" customWidth="1"/>
    <col min="8" max="9" width="20" customWidth="1"/>
    <col min="10" max="10" width="18" customWidth="1"/>
    <col min="11" max="12" width="12" customWidth="1"/>
    <col min="13" max="13" width="22" customWidth="1"/>
  </cols>
  <sheetData>
    <row r="1" spans="1:13" ht="24" customHeight="1" x14ac:dyDescent="0.3">
      <c r="A1" s="144" t="s">
        <v>713</v>
      </c>
      <c r="B1" s="144"/>
      <c r="C1" s="144"/>
      <c r="D1" s="144"/>
      <c r="E1" s="144"/>
      <c r="F1" s="144"/>
      <c r="G1" s="144"/>
      <c r="H1" s="144"/>
      <c r="I1" s="144"/>
      <c r="J1" s="144"/>
      <c r="K1" s="144"/>
      <c r="L1" s="144"/>
      <c r="M1" s="144"/>
    </row>
    <row r="3" spans="1:13" x14ac:dyDescent="0.3">
      <c r="A3" s="2" t="s">
        <v>70</v>
      </c>
      <c r="B3" s="2" t="s">
        <v>71</v>
      </c>
      <c r="C3" s="2" t="s">
        <v>72</v>
      </c>
      <c r="D3" s="2" t="s">
        <v>24</v>
      </c>
      <c r="E3" s="2" t="s">
        <v>25</v>
      </c>
      <c r="F3" s="2" t="s">
        <v>73</v>
      </c>
      <c r="G3" s="2" t="s">
        <v>74</v>
      </c>
      <c r="H3" s="2" t="s">
        <v>75</v>
      </c>
      <c r="I3" s="2" t="s">
        <v>76</v>
      </c>
      <c r="J3" s="2" t="s">
        <v>77</v>
      </c>
      <c r="K3" s="2" t="s">
        <v>78</v>
      </c>
      <c r="L3" s="2" t="s">
        <v>79</v>
      </c>
      <c r="M3" s="2" t="s">
        <v>80</v>
      </c>
    </row>
    <row r="4" spans="1:13" ht="15" customHeight="1" x14ac:dyDescent="0.3">
      <c r="A4" s="146" t="s">
        <v>714</v>
      </c>
      <c r="B4" s="146"/>
      <c r="C4" s="146"/>
      <c r="D4" s="146"/>
      <c r="E4" s="146"/>
      <c r="F4" s="146"/>
      <c r="G4" s="146"/>
      <c r="H4" s="146"/>
      <c r="I4" s="146"/>
      <c r="J4" s="146"/>
      <c r="K4" s="146"/>
      <c r="L4" s="146"/>
      <c r="M4" s="146"/>
    </row>
    <row r="5" spans="1:13" ht="26.4" x14ac:dyDescent="0.3">
      <c r="A5" s="8" t="s">
        <v>460</v>
      </c>
      <c r="B5" s="8"/>
      <c r="C5" s="10" t="s">
        <v>461</v>
      </c>
      <c r="D5" s="8" t="s">
        <v>63</v>
      </c>
      <c r="E5" s="8" t="s">
        <v>64</v>
      </c>
      <c r="F5" s="11" t="s">
        <v>83</v>
      </c>
      <c r="G5" s="18" t="s">
        <v>32</v>
      </c>
      <c r="H5" s="13" t="s">
        <v>27</v>
      </c>
      <c r="I5" s="14" t="s">
        <v>84</v>
      </c>
      <c r="J5" s="14" t="s">
        <v>85</v>
      </c>
      <c r="K5" s="8" t="s">
        <v>86</v>
      </c>
      <c r="L5" s="8" t="s">
        <v>86</v>
      </c>
      <c r="M5" s="8"/>
    </row>
    <row r="6" spans="1:13" ht="26.4" x14ac:dyDescent="0.3">
      <c r="A6" s="8" t="s">
        <v>462</v>
      </c>
      <c r="B6" s="8"/>
      <c r="C6" s="10" t="s">
        <v>463</v>
      </c>
      <c r="D6" s="8" t="s">
        <v>63</v>
      </c>
      <c r="E6" s="8" t="s">
        <v>64</v>
      </c>
      <c r="F6" s="11" t="s">
        <v>83</v>
      </c>
      <c r="G6" s="12" t="s">
        <v>33</v>
      </c>
      <c r="H6" s="13" t="s">
        <v>27</v>
      </c>
      <c r="I6" s="14" t="s">
        <v>84</v>
      </c>
      <c r="J6" s="14" t="s">
        <v>85</v>
      </c>
      <c r="K6" s="8" t="s">
        <v>86</v>
      </c>
      <c r="L6" s="8" t="s">
        <v>86</v>
      </c>
      <c r="M6" s="8"/>
    </row>
    <row r="7" spans="1:13" x14ac:dyDescent="0.3">
      <c r="A7" s="8" t="s">
        <v>464</v>
      </c>
      <c r="B7" s="8"/>
      <c r="C7" s="10" t="s">
        <v>465</v>
      </c>
      <c r="D7" s="8" t="s">
        <v>63</v>
      </c>
      <c r="E7" s="8" t="s">
        <v>64</v>
      </c>
      <c r="F7" s="11" t="s">
        <v>83</v>
      </c>
      <c r="G7" s="12" t="s">
        <v>33</v>
      </c>
      <c r="H7" s="13" t="s">
        <v>27</v>
      </c>
      <c r="I7" s="14" t="s">
        <v>92</v>
      </c>
      <c r="J7" s="14" t="s">
        <v>85</v>
      </c>
      <c r="K7" s="8" t="s">
        <v>466</v>
      </c>
      <c r="L7" s="8" t="s">
        <v>87</v>
      </c>
      <c r="M7" s="8"/>
    </row>
    <row r="8" spans="1:13" ht="39.6" x14ac:dyDescent="0.3">
      <c r="A8" s="8" t="s">
        <v>467</v>
      </c>
      <c r="B8" s="8"/>
      <c r="C8" s="10" t="s">
        <v>468</v>
      </c>
      <c r="D8" s="8" t="s">
        <v>63</v>
      </c>
      <c r="E8" s="8" t="s">
        <v>64</v>
      </c>
      <c r="F8" s="11" t="s">
        <v>83</v>
      </c>
      <c r="G8" s="12" t="s">
        <v>33</v>
      </c>
      <c r="H8" s="13" t="s">
        <v>27</v>
      </c>
      <c r="I8" s="14" t="s">
        <v>92</v>
      </c>
      <c r="J8" s="14" t="s">
        <v>85</v>
      </c>
      <c r="K8" s="8" t="s">
        <v>201</v>
      </c>
      <c r="L8" s="8" t="s">
        <v>401</v>
      </c>
      <c r="M8" s="8"/>
    </row>
    <row r="9" spans="1:13" ht="26.4" x14ac:dyDescent="0.3">
      <c r="A9" s="8" t="s">
        <v>469</v>
      </c>
      <c r="B9" s="8"/>
      <c r="C9" s="10" t="s">
        <v>470</v>
      </c>
      <c r="D9" s="8" t="s">
        <v>63</v>
      </c>
      <c r="E9" s="8" t="s">
        <v>64</v>
      </c>
      <c r="F9" s="11" t="s">
        <v>83</v>
      </c>
      <c r="G9" s="12" t="s">
        <v>33</v>
      </c>
      <c r="H9" s="13" t="s">
        <v>27</v>
      </c>
      <c r="I9" s="14" t="s">
        <v>84</v>
      </c>
      <c r="J9" s="14" t="s">
        <v>85</v>
      </c>
      <c r="K9" s="8" t="s">
        <v>471</v>
      </c>
      <c r="L9" s="8" t="s">
        <v>471</v>
      </c>
      <c r="M9" s="8"/>
    </row>
    <row r="10" spans="1:13" x14ac:dyDescent="0.3">
      <c r="A10" s="8" t="s">
        <v>472</v>
      </c>
      <c r="B10" s="8" t="s">
        <v>163</v>
      </c>
      <c r="C10" s="10" t="s">
        <v>473</v>
      </c>
      <c r="D10" s="8" t="s">
        <v>63</v>
      </c>
      <c r="E10" s="8" t="s">
        <v>64</v>
      </c>
      <c r="F10" s="11" t="s">
        <v>83</v>
      </c>
      <c r="G10" s="12" t="s">
        <v>33</v>
      </c>
      <c r="H10" s="13" t="s">
        <v>27</v>
      </c>
      <c r="I10" s="14"/>
      <c r="J10" s="14" t="s">
        <v>85</v>
      </c>
      <c r="K10" s="8" t="s">
        <v>474</v>
      </c>
      <c r="L10" s="8" t="s">
        <v>166</v>
      </c>
      <c r="M10" s="8" t="s">
        <v>176</v>
      </c>
    </row>
    <row r="11" spans="1:13" ht="26.4" x14ac:dyDescent="0.3">
      <c r="A11" s="8" t="s">
        <v>475</v>
      </c>
      <c r="B11" s="8"/>
      <c r="C11" s="10" t="s">
        <v>476</v>
      </c>
      <c r="D11" s="8" t="s">
        <v>63</v>
      </c>
      <c r="E11" s="8" t="s">
        <v>64</v>
      </c>
      <c r="F11" s="11" t="s">
        <v>83</v>
      </c>
      <c r="G11" s="17" t="s">
        <v>34</v>
      </c>
      <c r="H11" s="13" t="s">
        <v>27</v>
      </c>
      <c r="I11" s="14" t="s">
        <v>84</v>
      </c>
      <c r="J11" s="14" t="s">
        <v>382</v>
      </c>
      <c r="K11" s="8" t="s">
        <v>477</v>
      </c>
      <c r="L11" s="8" t="s">
        <v>477</v>
      </c>
      <c r="M11" s="8"/>
    </row>
    <row r="12" spans="1:13" x14ac:dyDescent="0.3">
      <c r="A12" s="8" t="s">
        <v>478</v>
      </c>
      <c r="B12" s="8" t="s">
        <v>163</v>
      </c>
      <c r="C12" s="10" t="s">
        <v>479</v>
      </c>
      <c r="D12" s="8" t="s">
        <v>63</v>
      </c>
      <c r="E12" s="8" t="s">
        <v>64</v>
      </c>
      <c r="F12" s="15" t="s">
        <v>37</v>
      </c>
      <c r="G12" s="15" t="s">
        <v>35</v>
      </c>
      <c r="H12" s="13" t="s">
        <v>27</v>
      </c>
      <c r="I12" s="14" t="s">
        <v>92</v>
      </c>
      <c r="J12" s="14" t="s">
        <v>188</v>
      </c>
      <c r="K12" s="8" t="s">
        <v>459</v>
      </c>
      <c r="L12" s="8" t="s">
        <v>166</v>
      </c>
      <c r="M12" s="8" t="s">
        <v>171</v>
      </c>
    </row>
    <row r="13" spans="1:13" ht="26.4" x14ac:dyDescent="0.3">
      <c r="A13" s="8" t="s">
        <v>480</v>
      </c>
      <c r="B13" s="8" t="s">
        <v>163</v>
      </c>
      <c r="C13" s="10" t="s">
        <v>481</v>
      </c>
      <c r="D13" s="8" t="s">
        <v>63</v>
      </c>
      <c r="E13" s="8" t="s">
        <v>64</v>
      </c>
      <c r="F13" s="11" t="s">
        <v>83</v>
      </c>
      <c r="G13" s="15" t="s">
        <v>35</v>
      </c>
      <c r="H13" s="12" t="s">
        <v>31</v>
      </c>
      <c r="I13" s="14" t="s">
        <v>115</v>
      </c>
      <c r="J13" s="14" t="s">
        <v>188</v>
      </c>
      <c r="K13" s="8" t="s">
        <v>459</v>
      </c>
      <c r="L13" s="8" t="s">
        <v>300</v>
      </c>
      <c r="M13" s="8"/>
    </row>
    <row r="14" spans="1:13" ht="26.4" x14ac:dyDescent="0.3">
      <c r="A14" s="8" t="s">
        <v>482</v>
      </c>
      <c r="B14" s="8"/>
      <c r="C14" s="10" t="s">
        <v>483</v>
      </c>
      <c r="D14" s="8" t="s">
        <v>63</v>
      </c>
      <c r="E14" s="8" t="s">
        <v>64</v>
      </c>
      <c r="F14" s="11" t="s">
        <v>83</v>
      </c>
      <c r="G14" s="15" t="s">
        <v>35</v>
      </c>
      <c r="H14" s="13" t="s">
        <v>27</v>
      </c>
      <c r="I14" s="14" t="s">
        <v>84</v>
      </c>
      <c r="J14" s="14" t="s">
        <v>85</v>
      </c>
      <c r="K14" s="8" t="s">
        <v>86</v>
      </c>
      <c r="L14" s="8" t="s">
        <v>86</v>
      </c>
      <c r="M14" s="8"/>
    </row>
    <row r="15" spans="1:13" ht="26.4" x14ac:dyDescent="0.3">
      <c r="A15" s="8" t="s">
        <v>484</v>
      </c>
      <c r="B15" s="8"/>
      <c r="C15" s="10" t="s">
        <v>485</v>
      </c>
      <c r="D15" s="8" t="s">
        <v>63</v>
      </c>
      <c r="E15" s="8" t="s">
        <v>64</v>
      </c>
      <c r="F15" s="11" t="s">
        <v>83</v>
      </c>
      <c r="G15" s="15" t="s">
        <v>35</v>
      </c>
      <c r="H15" s="13" t="s">
        <v>27</v>
      </c>
      <c r="I15" s="14"/>
      <c r="J15" s="14" t="s">
        <v>382</v>
      </c>
      <c r="K15" s="8" t="s">
        <v>477</v>
      </c>
      <c r="L15" s="8" t="s">
        <v>477</v>
      </c>
      <c r="M15" s="8"/>
    </row>
    <row r="16" spans="1:13" ht="15" customHeight="1" x14ac:dyDescent="0.3">
      <c r="A16" s="146" t="s">
        <v>715</v>
      </c>
      <c r="B16" s="146"/>
      <c r="C16" s="146"/>
      <c r="D16" s="146"/>
      <c r="E16" s="146"/>
      <c r="F16" s="146"/>
      <c r="G16" s="146"/>
      <c r="H16" s="146"/>
      <c r="I16" s="146"/>
      <c r="J16" s="146"/>
      <c r="K16" s="146"/>
      <c r="L16" s="146"/>
      <c r="M16" s="146"/>
    </row>
    <row r="17" spans="1:13" x14ac:dyDescent="0.3">
      <c r="A17" s="8" t="s">
        <v>486</v>
      </c>
      <c r="B17" s="8"/>
      <c r="C17" s="10" t="s">
        <v>487</v>
      </c>
      <c r="D17" s="8" t="s">
        <v>63</v>
      </c>
      <c r="E17" s="8" t="s">
        <v>65</v>
      </c>
      <c r="F17" s="15" t="s">
        <v>37</v>
      </c>
      <c r="G17" s="18" t="s">
        <v>32</v>
      </c>
      <c r="H17" s="12" t="s">
        <v>31</v>
      </c>
      <c r="I17" s="14" t="s">
        <v>92</v>
      </c>
      <c r="J17" s="14" t="s">
        <v>85</v>
      </c>
      <c r="K17" s="8" t="s">
        <v>488</v>
      </c>
      <c r="L17" s="8" t="s">
        <v>489</v>
      </c>
      <c r="M17" s="8"/>
    </row>
    <row r="18" spans="1:13" x14ac:dyDescent="0.3">
      <c r="A18" s="8" t="s">
        <v>490</v>
      </c>
      <c r="B18" s="8"/>
      <c r="C18" s="10" t="s">
        <v>491</v>
      </c>
      <c r="D18" s="8" t="s">
        <v>63</v>
      </c>
      <c r="E18" s="8" t="s">
        <v>65</v>
      </c>
      <c r="F18" s="15" t="s">
        <v>37</v>
      </c>
      <c r="G18" s="18" t="s">
        <v>32</v>
      </c>
      <c r="H18" s="19" t="s">
        <v>257</v>
      </c>
      <c r="I18" s="14" t="s">
        <v>92</v>
      </c>
      <c r="J18" s="14" t="s">
        <v>85</v>
      </c>
      <c r="K18" s="8" t="s">
        <v>488</v>
      </c>
      <c r="L18" s="8" t="s">
        <v>404</v>
      </c>
      <c r="M18" s="8"/>
    </row>
    <row r="19" spans="1:13" ht="26.4" x14ac:dyDescent="0.3">
      <c r="A19" s="8" t="s">
        <v>492</v>
      </c>
      <c r="B19" s="8"/>
      <c r="C19" s="10" t="s">
        <v>493</v>
      </c>
      <c r="D19" s="8" t="s">
        <v>63</v>
      </c>
      <c r="E19" s="8" t="s">
        <v>65</v>
      </c>
      <c r="F19" s="11" t="s">
        <v>83</v>
      </c>
      <c r="G19" s="18" t="s">
        <v>32</v>
      </c>
      <c r="H19" s="13" t="s">
        <v>27</v>
      </c>
      <c r="I19" s="14" t="s">
        <v>84</v>
      </c>
      <c r="J19" s="14" t="s">
        <v>84</v>
      </c>
      <c r="K19" s="8" t="s">
        <v>98</v>
      </c>
      <c r="L19" s="8" t="s">
        <v>87</v>
      </c>
      <c r="M19" s="8"/>
    </row>
    <row r="20" spans="1:13" x14ac:dyDescent="0.3">
      <c r="A20" s="8" t="s">
        <v>494</v>
      </c>
      <c r="B20" s="8"/>
      <c r="C20" s="10" t="s">
        <v>495</v>
      </c>
      <c r="D20" s="8" t="s">
        <v>63</v>
      </c>
      <c r="E20" s="8" t="s">
        <v>65</v>
      </c>
      <c r="F20" s="11" t="s">
        <v>83</v>
      </c>
      <c r="G20" s="18" t="s">
        <v>32</v>
      </c>
      <c r="H20" s="13" t="s">
        <v>27</v>
      </c>
      <c r="I20" s="14" t="s">
        <v>92</v>
      </c>
      <c r="J20" s="14" t="s">
        <v>85</v>
      </c>
      <c r="K20" s="8" t="s">
        <v>496</v>
      </c>
      <c r="L20" s="8" t="s">
        <v>497</v>
      </c>
      <c r="M20" s="8"/>
    </row>
    <row r="21" spans="1:13" x14ac:dyDescent="0.3">
      <c r="A21" s="8" t="s">
        <v>498</v>
      </c>
      <c r="B21" s="8"/>
      <c r="C21" s="10" t="s">
        <v>499</v>
      </c>
      <c r="D21" s="8" t="s">
        <v>63</v>
      </c>
      <c r="E21" s="8" t="s">
        <v>65</v>
      </c>
      <c r="F21" s="11" t="s">
        <v>83</v>
      </c>
      <c r="G21" s="18" t="s">
        <v>32</v>
      </c>
      <c r="H21" s="13" t="s">
        <v>27</v>
      </c>
      <c r="I21" s="14" t="s">
        <v>92</v>
      </c>
      <c r="J21" s="14" t="s">
        <v>85</v>
      </c>
      <c r="K21" s="8" t="s">
        <v>500</v>
      </c>
      <c r="L21" s="8" t="s">
        <v>497</v>
      </c>
      <c r="M21" s="8"/>
    </row>
    <row r="22" spans="1:13" ht="26.4" x14ac:dyDescent="0.3">
      <c r="A22" s="8" t="s">
        <v>501</v>
      </c>
      <c r="B22" s="8" t="s">
        <v>100</v>
      </c>
      <c r="C22" s="29" t="s">
        <v>502</v>
      </c>
      <c r="D22" s="8" t="s">
        <v>63</v>
      </c>
      <c r="E22" s="8" t="s">
        <v>65</v>
      </c>
      <c r="F22" s="11" t="s">
        <v>83</v>
      </c>
      <c r="G22" s="12" t="s">
        <v>33</v>
      </c>
      <c r="H22" s="16" t="s">
        <v>28</v>
      </c>
      <c r="I22" s="14" t="s">
        <v>92</v>
      </c>
      <c r="J22" s="14" t="s">
        <v>115</v>
      </c>
      <c r="K22" s="8" t="s">
        <v>180</v>
      </c>
      <c r="L22" s="8" t="s">
        <v>503</v>
      </c>
      <c r="M22" s="8"/>
    </row>
    <row r="23" spans="1:13" ht="26.4" x14ac:dyDescent="0.3">
      <c r="A23" s="8" t="s">
        <v>504</v>
      </c>
      <c r="B23" s="8" t="s">
        <v>100</v>
      </c>
      <c r="C23" s="10" t="s">
        <v>505</v>
      </c>
      <c r="D23" s="8" t="s">
        <v>63</v>
      </c>
      <c r="E23" s="8" t="s">
        <v>65</v>
      </c>
      <c r="F23" s="11" t="s">
        <v>83</v>
      </c>
      <c r="G23" s="12" t="s">
        <v>33</v>
      </c>
      <c r="H23" s="16" t="s">
        <v>28</v>
      </c>
      <c r="I23" s="14"/>
      <c r="J23" s="14" t="s">
        <v>115</v>
      </c>
      <c r="K23" s="8" t="s">
        <v>180</v>
      </c>
      <c r="L23" s="8" t="s">
        <v>506</v>
      </c>
      <c r="M23" s="8"/>
    </row>
    <row r="24" spans="1:13" ht="26.4" x14ac:dyDescent="0.3">
      <c r="A24" s="8" t="s">
        <v>507</v>
      </c>
      <c r="B24" s="8" t="s">
        <v>100</v>
      </c>
      <c r="C24" s="10" t="s">
        <v>508</v>
      </c>
      <c r="D24" s="8" t="s">
        <v>63</v>
      </c>
      <c r="E24" s="8" t="s">
        <v>65</v>
      </c>
      <c r="F24" s="11" t="s">
        <v>83</v>
      </c>
      <c r="G24" s="12" t="s">
        <v>33</v>
      </c>
      <c r="H24" s="16" t="s">
        <v>28</v>
      </c>
      <c r="I24" s="14"/>
      <c r="J24" s="14" t="s">
        <v>115</v>
      </c>
      <c r="K24" s="8" t="s">
        <v>180</v>
      </c>
      <c r="L24" s="8" t="s">
        <v>180</v>
      </c>
      <c r="M24" s="8" t="s">
        <v>216</v>
      </c>
    </row>
    <row r="25" spans="1:13" x14ac:dyDescent="0.3">
      <c r="A25" s="8" t="s">
        <v>509</v>
      </c>
      <c r="B25" s="8"/>
      <c r="C25" s="10" t="s">
        <v>510</v>
      </c>
      <c r="D25" s="8" t="s">
        <v>63</v>
      </c>
      <c r="E25" s="8" t="s">
        <v>65</v>
      </c>
      <c r="F25" s="15" t="s">
        <v>37</v>
      </c>
      <c r="G25" s="12" t="s">
        <v>33</v>
      </c>
      <c r="H25" s="19" t="s">
        <v>257</v>
      </c>
      <c r="I25" s="14" t="s">
        <v>92</v>
      </c>
      <c r="J25" s="14" t="s">
        <v>85</v>
      </c>
      <c r="K25" s="8" t="s">
        <v>466</v>
      </c>
      <c r="L25" s="8" t="s">
        <v>404</v>
      </c>
      <c r="M25" s="8"/>
    </row>
    <row r="26" spans="1:13" ht="26.4" x14ac:dyDescent="0.3">
      <c r="A26" s="8" t="s">
        <v>511</v>
      </c>
      <c r="B26" s="8"/>
      <c r="C26" s="10" t="s">
        <v>512</v>
      </c>
      <c r="D26" s="8" t="s">
        <v>63</v>
      </c>
      <c r="E26" s="8" t="s">
        <v>65</v>
      </c>
      <c r="F26" s="11" t="s">
        <v>83</v>
      </c>
      <c r="G26" s="12" t="s">
        <v>33</v>
      </c>
      <c r="H26" s="13" t="s">
        <v>27</v>
      </c>
      <c r="I26" s="14" t="s">
        <v>84</v>
      </c>
      <c r="J26" s="14" t="s">
        <v>85</v>
      </c>
      <c r="K26" s="8" t="s">
        <v>401</v>
      </c>
      <c r="L26" s="8" t="s">
        <v>401</v>
      </c>
      <c r="M26" s="8"/>
    </row>
    <row r="27" spans="1:13" ht="26.4" x14ac:dyDescent="0.3">
      <c r="A27" s="8" t="s">
        <v>513</v>
      </c>
      <c r="B27" s="8"/>
      <c r="C27" s="35" t="s">
        <v>514</v>
      </c>
      <c r="D27" s="8" t="s">
        <v>63</v>
      </c>
      <c r="E27" s="8" t="s">
        <v>65</v>
      </c>
      <c r="F27" s="11" t="s">
        <v>83</v>
      </c>
      <c r="G27" s="12" t="s">
        <v>33</v>
      </c>
      <c r="H27" s="13" t="s">
        <v>27</v>
      </c>
      <c r="I27" s="14" t="s">
        <v>84</v>
      </c>
      <c r="J27" s="14" t="s">
        <v>85</v>
      </c>
      <c r="K27" s="8" t="s">
        <v>401</v>
      </c>
      <c r="L27" s="8" t="s">
        <v>401</v>
      </c>
      <c r="M27" s="8"/>
    </row>
    <row r="28" spans="1:13" ht="26.4" x14ac:dyDescent="0.3">
      <c r="A28" s="8" t="s">
        <v>515</v>
      </c>
      <c r="B28" s="8"/>
      <c r="C28" s="35" t="s">
        <v>516</v>
      </c>
      <c r="D28" s="8" t="s">
        <v>63</v>
      </c>
      <c r="E28" s="8" t="s">
        <v>65</v>
      </c>
      <c r="F28" s="11" t="s">
        <v>83</v>
      </c>
      <c r="G28" s="12" t="s">
        <v>33</v>
      </c>
      <c r="H28" s="13" t="s">
        <v>27</v>
      </c>
      <c r="I28" s="14" t="s">
        <v>84</v>
      </c>
      <c r="J28" s="14" t="s">
        <v>85</v>
      </c>
      <c r="K28" s="8" t="s">
        <v>401</v>
      </c>
      <c r="L28" s="8" t="s">
        <v>401</v>
      </c>
      <c r="M28" s="8"/>
    </row>
    <row r="29" spans="1:13" ht="26.4" x14ac:dyDescent="0.3">
      <c r="A29" s="8" t="s">
        <v>517</v>
      </c>
      <c r="B29" s="8"/>
      <c r="C29" s="10" t="s">
        <v>518</v>
      </c>
      <c r="D29" s="8" t="s">
        <v>63</v>
      </c>
      <c r="E29" s="8" t="s">
        <v>65</v>
      </c>
      <c r="F29" s="11" t="s">
        <v>83</v>
      </c>
      <c r="G29" s="12" t="s">
        <v>33</v>
      </c>
      <c r="H29" s="13" t="s">
        <v>27</v>
      </c>
      <c r="I29" s="14" t="s">
        <v>84</v>
      </c>
      <c r="J29" s="14" t="s">
        <v>85</v>
      </c>
      <c r="K29" s="8" t="s">
        <v>471</v>
      </c>
      <c r="L29" s="8" t="s">
        <v>471</v>
      </c>
      <c r="M29" s="8"/>
    </row>
    <row r="30" spans="1:13" ht="39.6" x14ac:dyDescent="0.3">
      <c r="A30" s="8" t="s">
        <v>519</v>
      </c>
      <c r="B30" s="8" t="s">
        <v>100</v>
      </c>
      <c r="C30" s="10" t="s">
        <v>520</v>
      </c>
      <c r="D30" s="8" t="s">
        <v>63</v>
      </c>
      <c r="E30" s="8" t="s">
        <v>65</v>
      </c>
      <c r="F30" s="15" t="s">
        <v>37</v>
      </c>
      <c r="G30" s="17" t="s">
        <v>34</v>
      </c>
      <c r="H30" s="13" t="s">
        <v>27</v>
      </c>
      <c r="I30" s="14" t="s">
        <v>92</v>
      </c>
      <c r="J30" s="14" t="s">
        <v>92</v>
      </c>
      <c r="K30" s="8" t="s">
        <v>521</v>
      </c>
      <c r="L30" s="8" t="s">
        <v>103</v>
      </c>
      <c r="M30" s="8" t="s">
        <v>176</v>
      </c>
    </row>
    <row r="31" spans="1:13" ht="26.4" x14ac:dyDescent="0.3">
      <c r="A31" s="8" t="s">
        <v>522</v>
      </c>
      <c r="B31" s="8"/>
      <c r="C31" s="10" t="s">
        <v>523</v>
      </c>
      <c r="D31" s="8" t="s">
        <v>63</v>
      </c>
      <c r="E31" s="8" t="s">
        <v>65</v>
      </c>
      <c r="F31" s="11" t="s">
        <v>83</v>
      </c>
      <c r="G31" s="15" t="s">
        <v>35</v>
      </c>
      <c r="H31" s="13" t="s">
        <v>27</v>
      </c>
      <c r="I31" s="14" t="s">
        <v>84</v>
      </c>
      <c r="J31" s="14" t="s">
        <v>382</v>
      </c>
      <c r="K31" s="8" t="s">
        <v>477</v>
      </c>
      <c r="L31" s="8" t="s">
        <v>477</v>
      </c>
      <c r="M31" s="8"/>
    </row>
    <row r="32" spans="1:13" ht="26.4" x14ac:dyDescent="0.3">
      <c r="A32" s="8" t="s">
        <v>524</v>
      </c>
      <c r="B32" s="8"/>
      <c r="C32" s="10" t="s">
        <v>525</v>
      </c>
      <c r="D32" s="8" t="s">
        <v>63</v>
      </c>
      <c r="E32" s="8" t="s">
        <v>65</v>
      </c>
      <c r="F32" s="15" t="s">
        <v>37</v>
      </c>
      <c r="G32" s="15" t="s">
        <v>35</v>
      </c>
      <c r="H32" s="13" t="s">
        <v>27</v>
      </c>
      <c r="I32" s="14" t="s">
        <v>92</v>
      </c>
      <c r="J32" s="14" t="s">
        <v>382</v>
      </c>
      <c r="K32" s="8" t="s">
        <v>404</v>
      </c>
      <c r="L32" s="8" t="s">
        <v>404</v>
      </c>
      <c r="M32" s="8"/>
    </row>
    <row r="33" spans="1:13" ht="26.4" x14ac:dyDescent="0.3">
      <c r="A33" s="8" t="s">
        <v>526</v>
      </c>
      <c r="B33" s="8"/>
      <c r="C33" s="10" t="s">
        <v>527</v>
      </c>
      <c r="D33" s="8" t="s">
        <v>63</v>
      </c>
      <c r="E33" s="8" t="s">
        <v>65</v>
      </c>
      <c r="F33" s="16" t="s">
        <v>36</v>
      </c>
      <c r="G33" s="15" t="s">
        <v>35</v>
      </c>
      <c r="H33" s="13" t="s">
        <v>27</v>
      </c>
      <c r="I33" s="14" t="s">
        <v>84</v>
      </c>
      <c r="J33" s="14" t="s">
        <v>382</v>
      </c>
      <c r="K33" s="8" t="s">
        <v>404</v>
      </c>
      <c r="L33" s="8" t="s">
        <v>404</v>
      </c>
      <c r="M33" s="8"/>
    </row>
    <row r="34" spans="1:13" ht="26.4" x14ac:dyDescent="0.3">
      <c r="A34" s="8" t="s">
        <v>528</v>
      </c>
      <c r="B34" s="8"/>
      <c r="C34" s="10" t="s">
        <v>529</v>
      </c>
      <c r="D34" s="8" t="s">
        <v>63</v>
      </c>
      <c r="E34" s="8" t="s">
        <v>65</v>
      </c>
      <c r="F34" s="16" t="s">
        <v>36</v>
      </c>
      <c r="G34" s="15" t="s">
        <v>35</v>
      </c>
      <c r="H34" s="13" t="s">
        <v>27</v>
      </c>
      <c r="I34" s="14" t="s">
        <v>84</v>
      </c>
      <c r="J34" s="14" t="s">
        <v>382</v>
      </c>
      <c r="K34" s="8" t="s">
        <v>404</v>
      </c>
      <c r="L34" s="8" t="s">
        <v>404</v>
      </c>
      <c r="M34" s="8"/>
    </row>
    <row r="35" spans="1:13" x14ac:dyDescent="0.3">
      <c r="A35" s="49" t="s">
        <v>814</v>
      </c>
      <c r="B35" s="49" t="s">
        <v>100</v>
      </c>
      <c r="C35" s="64" t="s">
        <v>815</v>
      </c>
      <c r="D35" s="51" t="s">
        <v>63</v>
      </c>
      <c r="E35" s="51" t="s">
        <v>65</v>
      </c>
      <c r="F35" s="51"/>
      <c r="G35" s="51" t="s">
        <v>33</v>
      </c>
      <c r="H35" s="49" t="s">
        <v>27</v>
      </c>
      <c r="I35" s="49" t="s">
        <v>84</v>
      </c>
      <c r="J35" s="49" t="s">
        <v>85</v>
      </c>
      <c r="K35" s="62">
        <v>46210.98541666667</v>
      </c>
      <c r="L35" s="62">
        <v>46210.98541666667</v>
      </c>
    </row>
    <row r="36" spans="1:13" ht="26.4" x14ac:dyDescent="0.3">
      <c r="A36" s="8" t="s">
        <v>530</v>
      </c>
      <c r="B36" s="8"/>
      <c r="C36" s="10" t="s">
        <v>531</v>
      </c>
      <c r="D36" s="8" t="s">
        <v>63</v>
      </c>
      <c r="E36" s="8" t="s">
        <v>65</v>
      </c>
      <c r="F36" s="11" t="s">
        <v>83</v>
      </c>
      <c r="G36" s="15" t="s">
        <v>35</v>
      </c>
      <c r="H36" s="13" t="s">
        <v>27</v>
      </c>
      <c r="I36" s="14" t="s">
        <v>84</v>
      </c>
      <c r="J36" s="14" t="s">
        <v>382</v>
      </c>
      <c r="K36" s="8" t="s">
        <v>404</v>
      </c>
      <c r="L36" s="8" t="s">
        <v>532</v>
      </c>
      <c r="M36" s="8"/>
    </row>
    <row r="37" spans="1:13" ht="15" customHeight="1" x14ac:dyDescent="0.3">
      <c r="A37" s="146" t="s">
        <v>716</v>
      </c>
      <c r="B37" s="146"/>
      <c r="C37" s="146"/>
      <c r="D37" s="146"/>
      <c r="E37" s="146"/>
      <c r="F37" s="146"/>
      <c r="G37" s="146"/>
      <c r="H37" s="146"/>
      <c r="I37" s="146"/>
      <c r="J37" s="146"/>
      <c r="K37" s="146"/>
      <c r="L37" s="146"/>
      <c r="M37" s="146"/>
    </row>
    <row r="38" spans="1:13" ht="26.4" x14ac:dyDescent="0.3">
      <c r="A38" s="8" t="s">
        <v>533</v>
      </c>
      <c r="B38" s="8"/>
      <c r="C38" s="10" t="s">
        <v>534</v>
      </c>
      <c r="D38" s="8" t="s">
        <v>63</v>
      </c>
      <c r="E38" s="8" t="s">
        <v>66</v>
      </c>
      <c r="F38" s="11" t="s">
        <v>83</v>
      </c>
      <c r="G38" s="12" t="s">
        <v>33</v>
      </c>
      <c r="H38" s="13" t="s">
        <v>27</v>
      </c>
      <c r="I38" s="14" t="s">
        <v>92</v>
      </c>
      <c r="J38" s="14" t="s">
        <v>84</v>
      </c>
      <c r="K38" s="8" t="s">
        <v>98</v>
      </c>
      <c r="L38" s="8" t="s">
        <v>87</v>
      </c>
      <c r="M38" s="8"/>
    </row>
    <row r="39" spans="1:13" ht="26.4" x14ac:dyDescent="0.3">
      <c r="A39" s="8" t="s">
        <v>535</v>
      </c>
      <c r="B39" s="8"/>
      <c r="C39" s="10" t="s">
        <v>536</v>
      </c>
      <c r="D39" s="8" t="s">
        <v>63</v>
      </c>
      <c r="E39" s="8" t="s">
        <v>66</v>
      </c>
      <c r="F39" s="11" t="s">
        <v>83</v>
      </c>
      <c r="G39" s="12" t="s">
        <v>33</v>
      </c>
      <c r="H39" s="13" t="s">
        <v>27</v>
      </c>
      <c r="I39" s="14" t="s">
        <v>84</v>
      </c>
      <c r="J39" s="14" t="s">
        <v>382</v>
      </c>
      <c r="K39" s="8" t="s">
        <v>537</v>
      </c>
      <c r="L39" s="8" t="s">
        <v>401</v>
      </c>
      <c r="M39" s="8"/>
    </row>
    <row r="40" spans="1:13" ht="26.4" x14ac:dyDescent="0.3">
      <c r="A40" s="8" t="s">
        <v>538</v>
      </c>
      <c r="B40" s="8"/>
      <c r="C40" s="10" t="s">
        <v>539</v>
      </c>
      <c r="D40" s="8" t="s">
        <v>63</v>
      </c>
      <c r="E40" s="8" t="s">
        <v>66</v>
      </c>
      <c r="F40" s="11" t="s">
        <v>83</v>
      </c>
      <c r="G40" s="17" t="s">
        <v>34</v>
      </c>
      <c r="H40" s="13" t="s">
        <v>27</v>
      </c>
      <c r="I40" s="14" t="s">
        <v>92</v>
      </c>
      <c r="J40" s="14" t="s">
        <v>85</v>
      </c>
      <c r="K40" s="8" t="s">
        <v>86</v>
      </c>
      <c r="L40" s="8" t="s">
        <v>87</v>
      </c>
      <c r="M40" s="8"/>
    </row>
    <row r="41" spans="1:13" ht="26.4" x14ac:dyDescent="0.3">
      <c r="A41" s="8" t="s">
        <v>540</v>
      </c>
      <c r="B41" s="8"/>
      <c r="C41" s="10" t="s">
        <v>541</v>
      </c>
      <c r="D41" s="8" t="s">
        <v>63</v>
      </c>
      <c r="E41" s="8" t="s">
        <v>66</v>
      </c>
      <c r="F41" s="11" t="s">
        <v>83</v>
      </c>
      <c r="G41" s="17" t="s">
        <v>34</v>
      </c>
      <c r="H41" s="13" t="s">
        <v>27</v>
      </c>
      <c r="I41" s="14" t="s">
        <v>84</v>
      </c>
      <c r="J41" s="14" t="s">
        <v>382</v>
      </c>
      <c r="K41" s="8" t="s">
        <v>542</v>
      </c>
      <c r="L41" s="8" t="s">
        <v>401</v>
      </c>
      <c r="M41" s="8"/>
    </row>
    <row r="42" spans="1:13" ht="26.4" x14ac:dyDescent="0.3">
      <c r="A42" s="8" t="s">
        <v>543</v>
      </c>
      <c r="B42" s="8"/>
      <c r="C42" s="10" t="s">
        <v>544</v>
      </c>
      <c r="D42" s="8" t="s">
        <v>63</v>
      </c>
      <c r="E42" s="8" t="s">
        <v>66</v>
      </c>
      <c r="F42" s="11" t="s">
        <v>83</v>
      </c>
      <c r="G42" s="17" t="s">
        <v>34</v>
      </c>
      <c r="H42" s="13" t="s">
        <v>27</v>
      </c>
      <c r="I42" s="14" t="s">
        <v>92</v>
      </c>
      <c r="J42" s="14" t="s">
        <v>382</v>
      </c>
      <c r="K42" s="8" t="s">
        <v>537</v>
      </c>
      <c r="L42" s="8" t="s">
        <v>401</v>
      </c>
      <c r="M42" s="8"/>
    </row>
    <row r="43" spans="1:13" ht="26.4" x14ac:dyDescent="0.3">
      <c r="A43" s="8" t="s">
        <v>545</v>
      </c>
      <c r="B43" s="8"/>
      <c r="C43" s="10" t="s">
        <v>546</v>
      </c>
      <c r="D43" s="8" t="s">
        <v>63</v>
      </c>
      <c r="E43" s="8" t="s">
        <v>66</v>
      </c>
      <c r="F43" s="11" t="s">
        <v>83</v>
      </c>
      <c r="G43" s="17" t="s">
        <v>34</v>
      </c>
      <c r="H43" s="13" t="s">
        <v>27</v>
      </c>
      <c r="I43" s="14" t="s">
        <v>92</v>
      </c>
      <c r="J43" s="14" t="s">
        <v>382</v>
      </c>
      <c r="K43" s="8" t="s">
        <v>537</v>
      </c>
      <c r="L43" s="8" t="s">
        <v>401</v>
      </c>
      <c r="M43" s="8"/>
    </row>
    <row r="44" spans="1:13" ht="26.4" x14ac:dyDescent="0.3">
      <c r="A44" s="8" t="s">
        <v>547</v>
      </c>
      <c r="B44" s="8"/>
      <c r="C44" s="10" t="s">
        <v>548</v>
      </c>
      <c r="D44" s="8" t="s">
        <v>63</v>
      </c>
      <c r="E44" s="8" t="s">
        <v>66</v>
      </c>
      <c r="F44" s="11" t="s">
        <v>83</v>
      </c>
      <c r="G44" s="17" t="s">
        <v>34</v>
      </c>
      <c r="H44" s="13" t="s">
        <v>27</v>
      </c>
      <c r="I44" s="14" t="s">
        <v>84</v>
      </c>
      <c r="J44" s="14" t="s">
        <v>382</v>
      </c>
      <c r="K44" s="8" t="s">
        <v>401</v>
      </c>
      <c r="L44" s="8" t="s">
        <v>401</v>
      </c>
      <c r="M44" s="8"/>
    </row>
    <row r="45" spans="1:13" x14ac:dyDescent="0.3">
      <c r="A45" s="8" t="s">
        <v>549</v>
      </c>
      <c r="B45" s="8" t="s">
        <v>100</v>
      </c>
      <c r="C45" s="10" t="s">
        <v>550</v>
      </c>
      <c r="D45" s="8" t="s">
        <v>63</v>
      </c>
      <c r="E45" s="8" t="s">
        <v>66</v>
      </c>
      <c r="F45" s="15" t="s">
        <v>37</v>
      </c>
      <c r="G45" s="17" t="s">
        <v>34</v>
      </c>
      <c r="H45" s="16" t="s">
        <v>28</v>
      </c>
      <c r="I45" s="14" t="s">
        <v>92</v>
      </c>
      <c r="J45" s="14" t="s">
        <v>92</v>
      </c>
      <c r="K45" s="8" t="s">
        <v>551</v>
      </c>
      <c r="L45" s="8" t="s">
        <v>103</v>
      </c>
      <c r="M45" s="8" t="s">
        <v>104</v>
      </c>
    </row>
    <row r="46" spans="1:13" x14ac:dyDescent="0.3">
      <c r="A46" s="8" t="s">
        <v>552</v>
      </c>
      <c r="B46" s="8" t="s">
        <v>163</v>
      </c>
      <c r="C46" s="10" t="s">
        <v>553</v>
      </c>
      <c r="D46" s="8" t="s">
        <v>63</v>
      </c>
      <c r="E46" s="8" t="s">
        <v>66</v>
      </c>
      <c r="F46" s="11" t="s">
        <v>83</v>
      </c>
      <c r="G46" s="15" t="s">
        <v>35</v>
      </c>
      <c r="H46" s="13" t="s">
        <v>27</v>
      </c>
      <c r="I46" s="14"/>
      <c r="J46" s="14" t="s">
        <v>188</v>
      </c>
      <c r="K46" s="8" t="s">
        <v>197</v>
      </c>
      <c r="L46" s="8" t="s">
        <v>166</v>
      </c>
      <c r="M46" s="8" t="s">
        <v>176</v>
      </c>
    </row>
    <row r="47" spans="1:13" ht="26.4" x14ac:dyDescent="0.3">
      <c r="A47" s="8" t="s">
        <v>554</v>
      </c>
      <c r="B47" s="8"/>
      <c r="C47" s="10" t="s">
        <v>555</v>
      </c>
      <c r="D47" s="8" t="s">
        <v>63</v>
      </c>
      <c r="E47" s="8" t="s">
        <v>66</v>
      </c>
      <c r="F47" s="11" t="s">
        <v>83</v>
      </c>
      <c r="G47" s="15" t="s">
        <v>35</v>
      </c>
      <c r="H47" s="13" t="s">
        <v>27</v>
      </c>
      <c r="I47" s="14" t="s">
        <v>92</v>
      </c>
      <c r="J47" s="14" t="s">
        <v>382</v>
      </c>
      <c r="K47" s="8" t="s">
        <v>537</v>
      </c>
      <c r="L47" s="8" t="s">
        <v>401</v>
      </c>
      <c r="M47" s="8"/>
    </row>
    <row r="48" spans="1:13" x14ac:dyDescent="0.3">
      <c r="A48" s="8" t="s">
        <v>556</v>
      </c>
      <c r="B48" s="8"/>
      <c r="C48" s="10" t="s">
        <v>557</v>
      </c>
      <c r="D48" s="8" t="s">
        <v>63</v>
      </c>
      <c r="E48" s="8" t="s">
        <v>66</v>
      </c>
      <c r="F48" s="11" t="s">
        <v>83</v>
      </c>
      <c r="G48" s="15" t="s">
        <v>35</v>
      </c>
      <c r="H48" s="13" t="s">
        <v>27</v>
      </c>
      <c r="I48" s="14" t="s">
        <v>92</v>
      </c>
      <c r="J48" s="14" t="s">
        <v>382</v>
      </c>
      <c r="K48" s="8" t="s">
        <v>401</v>
      </c>
      <c r="L48" s="8" t="s">
        <v>401</v>
      </c>
      <c r="M48" s="8"/>
    </row>
    <row r="49" spans="1:13" ht="26.4" x14ac:dyDescent="0.3">
      <c r="A49" s="8" t="s">
        <v>558</v>
      </c>
      <c r="B49" s="8"/>
      <c r="C49" s="10" t="s">
        <v>559</v>
      </c>
      <c r="D49" s="8" t="s">
        <v>63</v>
      </c>
      <c r="E49" s="8" t="s">
        <v>66</v>
      </c>
      <c r="F49" s="11" t="s">
        <v>83</v>
      </c>
      <c r="G49" s="15" t="s">
        <v>35</v>
      </c>
      <c r="H49" s="13" t="s">
        <v>27</v>
      </c>
      <c r="I49" s="14" t="s">
        <v>92</v>
      </c>
      <c r="J49" s="14" t="s">
        <v>382</v>
      </c>
      <c r="K49" s="8" t="s">
        <v>401</v>
      </c>
      <c r="L49" s="8" t="s">
        <v>401</v>
      </c>
      <c r="M49" s="8"/>
    </row>
    <row r="50" spans="1:13" ht="26.4" x14ac:dyDescent="0.3">
      <c r="A50" s="8" t="s">
        <v>560</v>
      </c>
      <c r="B50" s="8"/>
      <c r="C50" s="10" t="s">
        <v>561</v>
      </c>
      <c r="D50" s="8" t="s">
        <v>63</v>
      </c>
      <c r="E50" s="8" t="s">
        <v>66</v>
      </c>
      <c r="F50" s="11" t="s">
        <v>83</v>
      </c>
      <c r="G50" s="15" t="s">
        <v>35</v>
      </c>
      <c r="H50" s="13" t="s">
        <v>27</v>
      </c>
      <c r="I50" s="14" t="s">
        <v>84</v>
      </c>
      <c r="J50" s="14" t="s">
        <v>382</v>
      </c>
      <c r="K50" s="8" t="s">
        <v>401</v>
      </c>
      <c r="L50" s="8" t="s">
        <v>401</v>
      </c>
      <c r="M50" s="8"/>
    </row>
    <row r="51" spans="1:13" ht="26.4" x14ac:dyDescent="0.3">
      <c r="A51" s="8" t="s">
        <v>562</v>
      </c>
      <c r="B51" s="8"/>
      <c r="C51" s="10" t="s">
        <v>563</v>
      </c>
      <c r="D51" s="8" t="s">
        <v>63</v>
      </c>
      <c r="E51" s="8" t="s">
        <v>66</v>
      </c>
      <c r="F51" s="11" t="s">
        <v>83</v>
      </c>
      <c r="G51" s="15" t="s">
        <v>35</v>
      </c>
      <c r="H51" s="13" t="s">
        <v>27</v>
      </c>
      <c r="I51" s="14" t="s">
        <v>84</v>
      </c>
      <c r="J51" s="14" t="s">
        <v>382</v>
      </c>
      <c r="K51" s="8" t="s">
        <v>401</v>
      </c>
      <c r="L51" s="8" t="s">
        <v>401</v>
      </c>
      <c r="M51" s="8"/>
    </row>
    <row r="52" spans="1:13" ht="26.4" x14ac:dyDescent="0.3">
      <c r="A52" s="8" t="s">
        <v>564</v>
      </c>
      <c r="B52" s="8"/>
      <c r="C52" s="10" t="s">
        <v>565</v>
      </c>
      <c r="D52" s="8" t="s">
        <v>63</v>
      </c>
      <c r="E52" s="8" t="s">
        <v>66</v>
      </c>
      <c r="F52" s="11" t="s">
        <v>83</v>
      </c>
      <c r="G52" s="15" t="s">
        <v>35</v>
      </c>
      <c r="H52" s="13" t="s">
        <v>27</v>
      </c>
      <c r="I52" s="14" t="s">
        <v>84</v>
      </c>
      <c r="J52" s="14" t="s">
        <v>382</v>
      </c>
      <c r="K52" s="8" t="s">
        <v>401</v>
      </c>
      <c r="L52" s="8" t="s">
        <v>401</v>
      </c>
      <c r="M52" s="8"/>
    </row>
    <row r="53" spans="1:13" ht="26.4" x14ac:dyDescent="0.3">
      <c r="A53" s="8" t="s">
        <v>566</v>
      </c>
      <c r="B53" s="8"/>
      <c r="C53" s="10" t="s">
        <v>567</v>
      </c>
      <c r="D53" s="8" t="s">
        <v>63</v>
      </c>
      <c r="E53" s="8" t="s">
        <v>66</v>
      </c>
      <c r="F53" s="11" t="s">
        <v>83</v>
      </c>
      <c r="G53" s="15" t="s">
        <v>35</v>
      </c>
      <c r="H53" s="13" t="s">
        <v>27</v>
      </c>
      <c r="I53" s="14" t="s">
        <v>92</v>
      </c>
      <c r="J53" s="14" t="s">
        <v>382</v>
      </c>
      <c r="K53" s="8" t="s">
        <v>401</v>
      </c>
      <c r="L53" s="8" t="s">
        <v>401</v>
      </c>
      <c r="M53" s="8"/>
    </row>
    <row r="54" spans="1:13" ht="26.4" x14ac:dyDescent="0.3">
      <c r="A54" s="8" t="s">
        <v>568</v>
      </c>
      <c r="B54" s="8"/>
      <c r="C54" s="10" t="s">
        <v>569</v>
      </c>
      <c r="D54" s="8" t="s">
        <v>63</v>
      </c>
      <c r="E54" s="8" t="s">
        <v>66</v>
      </c>
      <c r="F54" s="11" t="s">
        <v>83</v>
      </c>
      <c r="G54" s="15" t="s">
        <v>35</v>
      </c>
      <c r="H54" s="13" t="s">
        <v>27</v>
      </c>
      <c r="I54" s="14" t="s">
        <v>92</v>
      </c>
      <c r="J54" s="14" t="s">
        <v>382</v>
      </c>
      <c r="K54" s="8" t="s">
        <v>401</v>
      </c>
      <c r="L54" s="8" t="s">
        <v>401</v>
      </c>
      <c r="M54" s="8"/>
    </row>
    <row r="55" spans="1:13" ht="15" customHeight="1" x14ac:dyDescent="0.3">
      <c r="A55" s="146" t="s">
        <v>717</v>
      </c>
      <c r="B55" s="146"/>
      <c r="C55" s="146"/>
      <c r="D55" s="146"/>
      <c r="E55" s="146"/>
      <c r="F55" s="146"/>
      <c r="G55" s="146"/>
      <c r="H55" s="146"/>
      <c r="I55" s="146"/>
      <c r="J55" s="146"/>
      <c r="K55" s="146"/>
      <c r="L55" s="146"/>
      <c r="M55" s="146"/>
    </row>
    <row r="56" spans="1:13" x14ac:dyDescent="0.3">
      <c r="A56" s="8" t="s">
        <v>570</v>
      </c>
      <c r="B56" s="8" t="s">
        <v>163</v>
      </c>
      <c r="C56" s="10" t="s">
        <v>571</v>
      </c>
      <c r="D56" s="8" t="s">
        <v>63</v>
      </c>
      <c r="E56" s="8" t="s">
        <v>67</v>
      </c>
      <c r="F56" s="15" t="s">
        <v>37</v>
      </c>
      <c r="G56" s="12" t="s">
        <v>33</v>
      </c>
      <c r="H56" s="13" t="s">
        <v>27</v>
      </c>
      <c r="I56" s="14" t="s">
        <v>92</v>
      </c>
      <c r="J56" s="14" t="s">
        <v>188</v>
      </c>
      <c r="K56" s="8" t="s">
        <v>459</v>
      </c>
      <c r="L56" s="8" t="s">
        <v>166</v>
      </c>
      <c r="M56" s="8" t="s">
        <v>171</v>
      </c>
    </row>
    <row r="57" spans="1:13" ht="26.4" x14ac:dyDescent="0.3">
      <c r="A57" s="8" t="s">
        <v>572</v>
      </c>
      <c r="B57" s="8"/>
      <c r="C57" s="10" t="s">
        <v>573</v>
      </c>
      <c r="D57" s="8" t="s">
        <v>63</v>
      </c>
      <c r="E57" s="8" t="s">
        <v>67</v>
      </c>
      <c r="F57" s="11" t="s">
        <v>83</v>
      </c>
      <c r="G57" s="12" t="s">
        <v>33</v>
      </c>
      <c r="H57" s="13" t="s">
        <v>27</v>
      </c>
      <c r="I57" s="14" t="s">
        <v>84</v>
      </c>
      <c r="J57" s="14" t="s">
        <v>85</v>
      </c>
      <c r="K57" s="8" t="s">
        <v>112</v>
      </c>
      <c r="L57" s="8" t="s">
        <v>112</v>
      </c>
      <c r="M57" s="8"/>
    </row>
    <row r="58" spans="1:13" ht="26.4" x14ac:dyDescent="0.3">
      <c r="A58" s="8" t="s">
        <v>574</v>
      </c>
      <c r="B58" s="8" t="s">
        <v>205</v>
      </c>
      <c r="C58" s="10" t="s">
        <v>575</v>
      </c>
      <c r="D58" s="8" t="s">
        <v>63</v>
      </c>
      <c r="E58" s="8" t="s">
        <v>67</v>
      </c>
      <c r="F58" s="11" t="s">
        <v>83</v>
      </c>
      <c r="G58" s="12" t="s">
        <v>33</v>
      </c>
      <c r="H58" s="13" t="s">
        <v>27</v>
      </c>
      <c r="I58" s="14" t="s">
        <v>92</v>
      </c>
      <c r="J58" s="14" t="s">
        <v>115</v>
      </c>
      <c r="K58" s="8" t="s">
        <v>576</v>
      </c>
      <c r="L58" s="8" t="s">
        <v>103</v>
      </c>
      <c r="M58" s="8" t="s">
        <v>176</v>
      </c>
    </row>
    <row r="59" spans="1:13" x14ac:dyDescent="0.3">
      <c r="A59" s="8" t="s">
        <v>577</v>
      </c>
      <c r="B59" s="8" t="s">
        <v>163</v>
      </c>
      <c r="C59" s="10" t="s">
        <v>578</v>
      </c>
      <c r="D59" s="8" t="s">
        <v>63</v>
      </c>
      <c r="E59" s="8" t="s">
        <v>67</v>
      </c>
      <c r="F59" s="15" t="s">
        <v>37</v>
      </c>
      <c r="G59" s="17" t="s">
        <v>34</v>
      </c>
      <c r="H59" s="13" t="s">
        <v>27</v>
      </c>
      <c r="I59" s="14" t="s">
        <v>92</v>
      </c>
      <c r="J59" s="14" t="s">
        <v>188</v>
      </c>
      <c r="K59" s="8" t="s">
        <v>459</v>
      </c>
      <c r="L59" s="8" t="s">
        <v>166</v>
      </c>
      <c r="M59" s="8" t="s">
        <v>277</v>
      </c>
    </row>
    <row r="60" spans="1:13" ht="26.4" x14ac:dyDescent="0.3">
      <c r="A60" s="8" t="s">
        <v>579</v>
      </c>
      <c r="B60" s="8"/>
      <c r="C60" s="10" t="s">
        <v>580</v>
      </c>
      <c r="D60" s="8" t="s">
        <v>63</v>
      </c>
      <c r="E60" s="8" t="s">
        <v>67</v>
      </c>
      <c r="F60" s="11" t="s">
        <v>83</v>
      </c>
      <c r="G60" s="17" t="s">
        <v>34</v>
      </c>
      <c r="H60" s="16" t="s">
        <v>28</v>
      </c>
      <c r="I60" s="14" t="s">
        <v>84</v>
      </c>
      <c r="J60" s="14" t="s">
        <v>84</v>
      </c>
      <c r="K60" s="8" t="s">
        <v>581</v>
      </c>
      <c r="L60" s="8" t="s">
        <v>129</v>
      </c>
      <c r="M60" s="8"/>
    </row>
    <row r="61" spans="1:13" ht="26.4" x14ac:dyDescent="0.3">
      <c r="A61" s="8" t="s">
        <v>582</v>
      </c>
      <c r="B61" s="8" t="s">
        <v>100</v>
      </c>
      <c r="C61" s="10" t="s">
        <v>583</v>
      </c>
      <c r="D61" s="8" t="s">
        <v>63</v>
      </c>
      <c r="E61" s="8" t="s">
        <v>67</v>
      </c>
      <c r="F61" s="15" t="s">
        <v>37</v>
      </c>
      <c r="G61" s="17" t="s">
        <v>34</v>
      </c>
      <c r="H61" s="13" t="s">
        <v>27</v>
      </c>
      <c r="I61" s="14" t="s">
        <v>92</v>
      </c>
      <c r="J61" s="14" t="s">
        <v>115</v>
      </c>
      <c r="K61" s="8" t="s">
        <v>584</v>
      </c>
      <c r="L61" s="8" t="s">
        <v>584</v>
      </c>
      <c r="M61" s="8" t="s">
        <v>117</v>
      </c>
    </row>
    <row r="62" spans="1:13" ht="26.4" x14ac:dyDescent="0.3">
      <c r="A62" s="8" t="s">
        <v>585</v>
      </c>
      <c r="B62" s="8" t="s">
        <v>100</v>
      </c>
      <c r="C62" s="10" t="s">
        <v>586</v>
      </c>
      <c r="D62" s="8" t="s">
        <v>63</v>
      </c>
      <c r="E62" s="8" t="s">
        <v>67</v>
      </c>
      <c r="F62" s="16" t="s">
        <v>36</v>
      </c>
      <c r="G62" s="17" t="s">
        <v>34</v>
      </c>
      <c r="H62" s="13" t="s">
        <v>27</v>
      </c>
      <c r="I62" s="14" t="s">
        <v>115</v>
      </c>
      <c r="J62" s="14" t="s">
        <v>115</v>
      </c>
      <c r="K62" s="8" t="s">
        <v>584</v>
      </c>
      <c r="L62" s="8" t="s">
        <v>175</v>
      </c>
      <c r="M62" s="8" t="s">
        <v>117</v>
      </c>
    </row>
    <row r="63" spans="1:13" x14ac:dyDescent="0.3">
      <c r="A63" s="8" t="s">
        <v>587</v>
      </c>
      <c r="B63" s="8" t="s">
        <v>588</v>
      </c>
      <c r="C63" s="10" t="s">
        <v>589</v>
      </c>
      <c r="D63" s="8" t="s">
        <v>63</v>
      </c>
      <c r="E63" s="8" t="s">
        <v>67</v>
      </c>
      <c r="F63" s="11" t="s">
        <v>83</v>
      </c>
      <c r="G63" s="15" t="s">
        <v>35</v>
      </c>
      <c r="H63" s="13" t="s">
        <v>27</v>
      </c>
      <c r="I63" s="14"/>
      <c r="J63" s="14" t="s">
        <v>188</v>
      </c>
      <c r="K63" s="8" t="s">
        <v>459</v>
      </c>
      <c r="L63" s="8" t="s">
        <v>590</v>
      </c>
      <c r="M63" s="8"/>
    </row>
    <row r="64" spans="1:13" x14ac:dyDescent="0.3">
      <c r="A64" s="8" t="s">
        <v>591</v>
      </c>
      <c r="B64" s="8" t="s">
        <v>163</v>
      </c>
      <c r="C64" s="10" t="s">
        <v>592</v>
      </c>
      <c r="D64" s="8" t="s">
        <v>63</v>
      </c>
      <c r="E64" s="8" t="s">
        <v>67</v>
      </c>
      <c r="F64" s="11" t="s">
        <v>83</v>
      </c>
      <c r="G64" s="15" t="s">
        <v>35</v>
      </c>
      <c r="H64" s="13" t="s">
        <v>27</v>
      </c>
      <c r="I64" s="14"/>
      <c r="J64" s="14" t="s">
        <v>188</v>
      </c>
      <c r="K64" s="8" t="s">
        <v>593</v>
      </c>
      <c r="L64" s="8" t="s">
        <v>166</v>
      </c>
      <c r="M64" s="8" t="s">
        <v>277</v>
      </c>
    </row>
    <row r="65" spans="1:13" x14ac:dyDescent="0.3">
      <c r="A65" s="8" t="s">
        <v>594</v>
      </c>
      <c r="B65" s="8" t="s">
        <v>163</v>
      </c>
      <c r="C65" s="10" t="s">
        <v>595</v>
      </c>
      <c r="D65" s="8" t="s">
        <v>63</v>
      </c>
      <c r="E65" s="8" t="s">
        <v>67</v>
      </c>
      <c r="F65" s="11" t="s">
        <v>83</v>
      </c>
      <c r="G65" s="15" t="s">
        <v>35</v>
      </c>
      <c r="H65" s="13" t="s">
        <v>27</v>
      </c>
      <c r="I65" s="14"/>
      <c r="J65" s="14" t="s">
        <v>188</v>
      </c>
      <c r="K65" s="8" t="s">
        <v>593</v>
      </c>
      <c r="L65" s="8" t="s">
        <v>166</v>
      </c>
      <c r="M65" s="8" t="s">
        <v>277</v>
      </c>
    </row>
    <row r="66" spans="1:13" x14ac:dyDescent="0.3">
      <c r="A66" s="8" t="s">
        <v>596</v>
      </c>
      <c r="B66" s="8" t="s">
        <v>163</v>
      </c>
      <c r="C66" s="10" t="s">
        <v>597</v>
      </c>
      <c r="D66" s="8" t="s">
        <v>63</v>
      </c>
      <c r="E66" s="8" t="s">
        <v>67</v>
      </c>
      <c r="F66" s="11" t="s">
        <v>83</v>
      </c>
      <c r="G66" s="15" t="s">
        <v>35</v>
      </c>
      <c r="H66" s="13" t="s">
        <v>27</v>
      </c>
      <c r="I66" s="14"/>
      <c r="J66" s="14" t="s">
        <v>188</v>
      </c>
      <c r="K66" s="8" t="s">
        <v>593</v>
      </c>
      <c r="L66" s="8" t="s">
        <v>166</v>
      </c>
      <c r="M66" s="8" t="s">
        <v>277</v>
      </c>
    </row>
    <row r="67" spans="1:13" x14ac:dyDescent="0.3">
      <c r="A67" s="8" t="s">
        <v>598</v>
      </c>
      <c r="B67" s="8" t="s">
        <v>163</v>
      </c>
      <c r="C67" s="10" t="s">
        <v>599</v>
      </c>
      <c r="D67" s="8" t="s">
        <v>63</v>
      </c>
      <c r="E67" s="8" t="s">
        <v>67</v>
      </c>
      <c r="F67" s="11" t="s">
        <v>83</v>
      </c>
      <c r="G67" s="15" t="s">
        <v>35</v>
      </c>
      <c r="H67" s="13" t="s">
        <v>27</v>
      </c>
      <c r="I67" s="14"/>
      <c r="J67" s="14" t="s">
        <v>188</v>
      </c>
      <c r="K67" s="8" t="s">
        <v>593</v>
      </c>
      <c r="L67" s="8" t="s">
        <v>166</v>
      </c>
      <c r="M67" s="8" t="s">
        <v>171</v>
      </c>
    </row>
    <row r="68" spans="1:13" x14ac:dyDescent="0.3">
      <c r="A68" s="8" t="s">
        <v>600</v>
      </c>
      <c r="B68" s="8" t="s">
        <v>163</v>
      </c>
      <c r="C68" s="10" t="s">
        <v>601</v>
      </c>
      <c r="D68" s="8" t="s">
        <v>63</v>
      </c>
      <c r="E68" s="8" t="s">
        <v>67</v>
      </c>
      <c r="F68" s="11" t="s">
        <v>83</v>
      </c>
      <c r="G68" s="15" t="s">
        <v>35</v>
      </c>
      <c r="H68" s="13" t="s">
        <v>27</v>
      </c>
      <c r="I68" s="14"/>
      <c r="J68" s="14" t="s">
        <v>188</v>
      </c>
      <c r="K68" s="8" t="s">
        <v>593</v>
      </c>
      <c r="L68" s="8" t="s">
        <v>166</v>
      </c>
      <c r="M68" s="8" t="s">
        <v>198</v>
      </c>
    </row>
    <row r="69" spans="1:13" x14ac:dyDescent="0.3">
      <c r="A69" s="8" t="s">
        <v>602</v>
      </c>
      <c r="B69" s="8" t="s">
        <v>163</v>
      </c>
      <c r="C69" s="10" t="s">
        <v>603</v>
      </c>
      <c r="D69" s="8" t="s">
        <v>63</v>
      </c>
      <c r="E69" s="8" t="s">
        <v>67</v>
      </c>
      <c r="F69" s="11" t="s">
        <v>83</v>
      </c>
      <c r="G69" s="15" t="s">
        <v>35</v>
      </c>
      <c r="H69" s="13" t="s">
        <v>27</v>
      </c>
      <c r="I69" s="14"/>
      <c r="J69" s="14" t="s">
        <v>188</v>
      </c>
      <c r="K69" s="8" t="s">
        <v>593</v>
      </c>
      <c r="L69" s="8" t="s">
        <v>166</v>
      </c>
      <c r="M69" s="8" t="s">
        <v>198</v>
      </c>
    </row>
    <row r="70" spans="1:13" ht="26.4" x14ac:dyDescent="0.3">
      <c r="A70" s="8" t="s">
        <v>604</v>
      </c>
      <c r="B70" s="8" t="s">
        <v>163</v>
      </c>
      <c r="C70" s="10" t="s">
        <v>605</v>
      </c>
      <c r="D70" s="8" t="s">
        <v>63</v>
      </c>
      <c r="E70" s="8" t="s">
        <v>67</v>
      </c>
      <c r="F70" s="11" t="s">
        <v>83</v>
      </c>
      <c r="G70" s="15" t="s">
        <v>35</v>
      </c>
      <c r="H70" s="13" t="s">
        <v>27</v>
      </c>
      <c r="I70" s="14"/>
      <c r="J70" s="14" t="s">
        <v>188</v>
      </c>
      <c r="K70" s="8" t="s">
        <v>189</v>
      </c>
      <c r="L70" s="8" t="s">
        <v>166</v>
      </c>
      <c r="M70" s="8" t="s">
        <v>277</v>
      </c>
    </row>
    <row r="71" spans="1:13" x14ac:dyDescent="0.3">
      <c r="A71" s="8" t="s">
        <v>606</v>
      </c>
      <c r="B71" s="8" t="s">
        <v>163</v>
      </c>
      <c r="C71" s="10" t="s">
        <v>607</v>
      </c>
      <c r="D71" s="8" t="s">
        <v>63</v>
      </c>
      <c r="E71" s="8" t="s">
        <v>67</v>
      </c>
      <c r="F71" s="11" t="s">
        <v>83</v>
      </c>
      <c r="G71" s="15" t="s">
        <v>35</v>
      </c>
      <c r="H71" s="13" t="s">
        <v>27</v>
      </c>
      <c r="I71" s="14"/>
      <c r="J71" s="14" t="s">
        <v>188</v>
      </c>
      <c r="K71" s="8" t="s">
        <v>189</v>
      </c>
      <c r="L71" s="8" t="s">
        <v>166</v>
      </c>
      <c r="M71" s="8" t="s">
        <v>277</v>
      </c>
    </row>
    <row r="72" spans="1:13" ht="26.4" x14ac:dyDescent="0.3">
      <c r="A72" s="8" t="s">
        <v>608</v>
      </c>
      <c r="B72" s="8" t="s">
        <v>163</v>
      </c>
      <c r="C72" s="10" t="s">
        <v>609</v>
      </c>
      <c r="D72" s="8" t="s">
        <v>63</v>
      </c>
      <c r="E72" s="8" t="s">
        <v>67</v>
      </c>
      <c r="F72" s="11" t="s">
        <v>83</v>
      </c>
      <c r="G72" s="15" t="s">
        <v>35</v>
      </c>
      <c r="H72" s="13" t="s">
        <v>27</v>
      </c>
      <c r="I72" s="14"/>
      <c r="J72" s="14" t="s">
        <v>188</v>
      </c>
      <c r="K72" s="8" t="s">
        <v>189</v>
      </c>
      <c r="L72" s="8" t="s">
        <v>166</v>
      </c>
      <c r="M72" s="8" t="s">
        <v>171</v>
      </c>
    </row>
    <row r="73" spans="1:13" ht="26.4" x14ac:dyDescent="0.3">
      <c r="A73" s="8" t="s">
        <v>610</v>
      </c>
      <c r="B73" s="8" t="s">
        <v>100</v>
      </c>
      <c r="C73" s="10" t="s">
        <v>611</v>
      </c>
      <c r="D73" s="8" t="s">
        <v>63</v>
      </c>
      <c r="E73" s="8" t="s">
        <v>67</v>
      </c>
      <c r="F73" s="15" t="s">
        <v>37</v>
      </c>
      <c r="G73" s="15" t="s">
        <v>35</v>
      </c>
      <c r="H73" s="13" t="s">
        <v>27</v>
      </c>
      <c r="I73" s="14" t="s">
        <v>92</v>
      </c>
      <c r="J73" s="14" t="s">
        <v>115</v>
      </c>
      <c r="K73" s="8" t="s">
        <v>116</v>
      </c>
      <c r="L73" s="8" t="s">
        <v>116</v>
      </c>
      <c r="M73" s="8" t="s">
        <v>117</v>
      </c>
    </row>
    <row r="74" spans="1:13" ht="26.4" x14ac:dyDescent="0.3">
      <c r="A74" s="8" t="s">
        <v>612</v>
      </c>
      <c r="B74" s="8" t="s">
        <v>100</v>
      </c>
      <c r="C74" s="10" t="s">
        <v>613</v>
      </c>
      <c r="D74" s="8" t="s">
        <v>63</v>
      </c>
      <c r="E74" s="8" t="s">
        <v>67</v>
      </c>
      <c r="F74" s="16" t="s">
        <v>36</v>
      </c>
      <c r="G74" s="15" t="s">
        <v>35</v>
      </c>
      <c r="H74" s="13" t="s">
        <v>27</v>
      </c>
      <c r="I74" s="14" t="s">
        <v>115</v>
      </c>
      <c r="J74" s="14" t="s">
        <v>115</v>
      </c>
      <c r="K74" s="8" t="s">
        <v>116</v>
      </c>
      <c r="L74" s="8" t="s">
        <v>175</v>
      </c>
      <c r="M74" s="8" t="s">
        <v>117</v>
      </c>
    </row>
    <row r="75" spans="1:13" ht="26.4" x14ac:dyDescent="0.3">
      <c r="A75" s="8" t="s">
        <v>614</v>
      </c>
      <c r="B75" s="8" t="s">
        <v>100</v>
      </c>
      <c r="C75" s="10" t="s">
        <v>615</v>
      </c>
      <c r="D75" s="8" t="s">
        <v>63</v>
      </c>
      <c r="E75" s="8" t="s">
        <v>67</v>
      </c>
      <c r="F75" s="15" t="s">
        <v>37</v>
      </c>
      <c r="G75" s="15" t="s">
        <v>35</v>
      </c>
      <c r="H75" s="13" t="s">
        <v>27</v>
      </c>
      <c r="I75" s="14" t="s">
        <v>92</v>
      </c>
      <c r="J75" s="14" t="s">
        <v>115</v>
      </c>
      <c r="K75" s="8" t="s">
        <v>116</v>
      </c>
      <c r="L75" s="8" t="s">
        <v>116</v>
      </c>
      <c r="M75" s="8" t="s">
        <v>117</v>
      </c>
    </row>
    <row r="76" spans="1:13" ht="26.4" x14ac:dyDescent="0.3">
      <c r="A76" s="8" t="s">
        <v>341</v>
      </c>
      <c r="B76" s="8" t="s">
        <v>100</v>
      </c>
      <c r="C76" s="10" t="s">
        <v>342</v>
      </c>
      <c r="D76" s="8" t="s">
        <v>44</v>
      </c>
      <c r="E76" s="8" t="s">
        <v>50</v>
      </c>
      <c r="F76" s="11" t="s">
        <v>83</v>
      </c>
      <c r="G76" s="17" t="s">
        <v>34</v>
      </c>
      <c r="H76" s="13" t="s">
        <v>27</v>
      </c>
      <c r="I76" s="14" t="s">
        <v>115</v>
      </c>
      <c r="J76" s="14" t="s">
        <v>85</v>
      </c>
      <c r="K76" s="8" t="s">
        <v>340</v>
      </c>
      <c r="L76" s="8" t="s">
        <v>166</v>
      </c>
      <c r="M76" s="8" t="s">
        <v>763</v>
      </c>
    </row>
    <row r="77" spans="1:13" s="37" customFormat="1" ht="15.6" x14ac:dyDescent="0.3">
      <c r="A77" s="45" t="s">
        <v>794</v>
      </c>
      <c r="B77" s="45" t="s">
        <v>205</v>
      </c>
      <c r="C77" s="45" t="s">
        <v>789</v>
      </c>
      <c r="D77" s="46" t="s">
        <v>799</v>
      </c>
      <c r="E77" s="46" t="s">
        <v>799</v>
      </c>
      <c r="F77" s="45"/>
      <c r="G77" s="47" t="s">
        <v>33</v>
      </c>
      <c r="H77" s="47" t="s">
        <v>27</v>
      </c>
      <c r="I77" s="45" t="s">
        <v>84</v>
      </c>
      <c r="J77" s="45" t="s">
        <v>84</v>
      </c>
      <c r="K77" s="48">
        <v>46204.712500000001</v>
      </c>
      <c r="L77" s="48">
        <v>46204.713888888888</v>
      </c>
    </row>
    <row r="78" spans="1:13" x14ac:dyDescent="0.3">
      <c r="A78" s="45" t="s">
        <v>796</v>
      </c>
      <c r="B78" s="45" t="s">
        <v>266</v>
      </c>
      <c r="C78" s="45" t="s">
        <v>791</v>
      </c>
      <c r="D78" s="46" t="s">
        <v>799</v>
      </c>
      <c r="E78" s="46" t="s">
        <v>799</v>
      </c>
      <c r="F78" s="45"/>
      <c r="G78" s="47" t="s">
        <v>33</v>
      </c>
      <c r="H78" s="47" t="s">
        <v>28</v>
      </c>
      <c r="I78" s="45" t="s">
        <v>802</v>
      </c>
      <c r="J78" s="45" t="s">
        <v>84</v>
      </c>
      <c r="K78" s="48">
        <v>46204.710416666669</v>
      </c>
      <c r="L78" s="48">
        <v>46205.464583333334</v>
      </c>
    </row>
    <row r="79" spans="1:13" ht="28.8" x14ac:dyDescent="0.3">
      <c r="A79" s="49" t="s">
        <v>818</v>
      </c>
      <c r="B79" s="49" t="s">
        <v>100</v>
      </c>
      <c r="C79" s="64" t="s">
        <v>819</v>
      </c>
      <c r="D79" s="51" t="s">
        <v>799</v>
      </c>
      <c r="E79" s="51" t="s">
        <v>799</v>
      </c>
      <c r="F79" s="51"/>
      <c r="G79" s="51" t="s">
        <v>34</v>
      </c>
      <c r="H79" s="49" t="s">
        <v>28</v>
      </c>
      <c r="I79" s="49" t="s">
        <v>802</v>
      </c>
      <c r="J79" s="49" t="s">
        <v>84</v>
      </c>
      <c r="K79" s="62">
        <v>46210.513888888891</v>
      </c>
      <c r="L79" s="62">
        <v>46210.51458333333</v>
      </c>
    </row>
    <row r="80" spans="1:13" x14ac:dyDescent="0.3">
      <c r="A80" s="49" t="s">
        <v>822</v>
      </c>
      <c r="B80" s="49" t="s">
        <v>266</v>
      </c>
      <c r="C80" s="64" t="s">
        <v>823</v>
      </c>
      <c r="D80" s="51" t="s">
        <v>799</v>
      </c>
      <c r="E80" s="51" t="s">
        <v>799</v>
      </c>
      <c r="F80" s="51"/>
      <c r="G80" s="51" t="s">
        <v>33</v>
      </c>
      <c r="H80" s="49" t="s">
        <v>28</v>
      </c>
      <c r="I80" s="49" t="s">
        <v>802</v>
      </c>
      <c r="J80" s="49" t="s">
        <v>84</v>
      </c>
      <c r="K80" s="62">
        <v>46208.613888888889</v>
      </c>
      <c r="L80" s="62">
        <v>46209.37777777778</v>
      </c>
    </row>
    <row r="81" spans="1:12" x14ac:dyDescent="0.3">
      <c r="A81" s="45" t="s">
        <v>795</v>
      </c>
      <c r="B81" s="45" t="s">
        <v>205</v>
      </c>
      <c r="C81" s="45" t="s">
        <v>790</v>
      </c>
      <c r="D81" s="46" t="s">
        <v>799</v>
      </c>
      <c r="E81" s="46" t="s">
        <v>799</v>
      </c>
      <c r="F81" s="45"/>
      <c r="G81" s="47" t="s">
        <v>33</v>
      </c>
      <c r="H81" s="47" t="s">
        <v>28</v>
      </c>
      <c r="I81" s="45" t="s">
        <v>802</v>
      </c>
      <c r="J81" s="45" t="s">
        <v>84</v>
      </c>
      <c r="K81" s="48">
        <v>46204.711111111108</v>
      </c>
      <c r="L81" s="48">
        <v>46205.464583333334</v>
      </c>
    </row>
    <row r="82" spans="1:12" ht="15.6" x14ac:dyDescent="0.3">
      <c r="A82" s="36" t="s">
        <v>723</v>
      </c>
      <c r="B82" s="37"/>
      <c r="C82" s="37"/>
      <c r="D82" s="37"/>
      <c r="E82" s="37"/>
      <c r="F82" s="37"/>
      <c r="G82" s="37"/>
      <c r="H82" s="37"/>
      <c r="I82" s="37"/>
      <c r="J82" s="37"/>
      <c r="K82" s="37"/>
      <c r="L82" s="37"/>
    </row>
    <row r="83" spans="1:12" ht="15.6" x14ac:dyDescent="0.3">
      <c r="A83" s="53"/>
      <c r="B83" s="54"/>
      <c r="C83" s="54"/>
      <c r="D83" s="54"/>
      <c r="E83" s="54"/>
      <c r="F83" s="54"/>
      <c r="G83" s="54"/>
      <c r="H83" s="54"/>
      <c r="I83" s="54"/>
      <c r="J83" s="54"/>
      <c r="K83" s="54"/>
      <c r="L83" s="54"/>
    </row>
    <row r="84" spans="1:12" x14ac:dyDescent="0.3">
      <c r="C84" s="81" t="s">
        <v>882</v>
      </c>
      <c r="D84" s="85"/>
    </row>
    <row r="85" spans="1:12" ht="26.4" x14ac:dyDescent="0.3">
      <c r="B85" t="s">
        <v>944</v>
      </c>
      <c r="C85" s="65" t="s">
        <v>782</v>
      </c>
      <c r="D85" s="45"/>
    </row>
    <row r="86" spans="1:12" x14ac:dyDescent="0.3">
      <c r="C86" s="83" t="s">
        <v>884</v>
      </c>
      <c r="D86" s="100"/>
    </row>
    <row r="87" spans="1:12" ht="26.4" x14ac:dyDescent="0.3">
      <c r="B87" t="s">
        <v>945</v>
      </c>
      <c r="C87" s="65" t="s">
        <v>885</v>
      </c>
      <c r="D87" s="45"/>
    </row>
    <row r="88" spans="1:12" x14ac:dyDescent="0.3">
      <c r="C88" s="102" t="s">
        <v>887</v>
      </c>
      <c r="D88" s="99"/>
    </row>
    <row r="89" spans="1:12" ht="26.4" x14ac:dyDescent="0.3">
      <c r="B89" t="s">
        <v>946</v>
      </c>
      <c r="C89" s="65" t="s">
        <v>883</v>
      </c>
      <c r="D89" s="45"/>
    </row>
    <row r="90" spans="1:12" x14ac:dyDescent="0.3">
      <c r="B90" t="s">
        <v>947</v>
      </c>
      <c r="C90" s="65" t="s">
        <v>889</v>
      </c>
    </row>
    <row r="91" spans="1:12" x14ac:dyDescent="0.3">
      <c r="C91" s="83" t="s">
        <v>888</v>
      </c>
      <c r="D91" s="103"/>
    </row>
    <row r="92" spans="1:12" x14ac:dyDescent="0.3">
      <c r="B92" t="s">
        <v>948</v>
      </c>
      <c r="C92" s="65" t="s">
        <v>777</v>
      </c>
      <c r="D92" s="45"/>
    </row>
    <row r="93" spans="1:12" x14ac:dyDescent="0.3">
      <c r="C93" s="106" t="s">
        <v>897</v>
      </c>
      <c r="D93" s="107"/>
    </row>
    <row r="94" spans="1:12" x14ac:dyDescent="0.3">
      <c r="B94" t="s">
        <v>949</v>
      </c>
      <c r="C94" s="65" t="s">
        <v>898</v>
      </c>
      <c r="D94" s="108"/>
    </row>
  </sheetData>
  <mergeCells count="5">
    <mergeCell ref="A1:M1"/>
    <mergeCell ref="A4:M4"/>
    <mergeCell ref="A16:M16"/>
    <mergeCell ref="A37:M37"/>
    <mergeCell ref="A55:M5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8"/>
  <sheetViews>
    <sheetView showGridLines="0" zoomScaleNormal="100" workbookViewId="0">
      <pane ySplit="3" topLeftCell="A17" activePane="bottomLeft" state="frozen"/>
      <selection pane="bottomLeft" activeCell="F34" sqref="F34"/>
    </sheetView>
  </sheetViews>
  <sheetFormatPr defaultColWidth="8.6640625" defaultRowHeight="14.4" x14ac:dyDescent="0.3"/>
  <cols>
    <col min="1" max="1" width="11" customWidth="1"/>
    <col min="2" max="2" width="9" customWidth="1"/>
    <col min="3" max="3" width="62" customWidth="1"/>
    <col min="4" max="4" width="31.88671875" customWidth="1"/>
    <col min="5" max="5" width="34.33203125" customWidth="1"/>
    <col min="6" max="6" width="7" customWidth="1"/>
    <col min="7" max="7" width="10" customWidth="1"/>
    <col min="8" max="9" width="20" customWidth="1"/>
    <col min="10" max="10" width="18" customWidth="1"/>
    <col min="11" max="12" width="12" customWidth="1"/>
    <col min="13" max="13" width="22" customWidth="1"/>
  </cols>
  <sheetData>
    <row r="1" spans="1:13" ht="24" customHeight="1" x14ac:dyDescent="0.3">
      <c r="A1" s="144" t="s">
        <v>718</v>
      </c>
      <c r="B1" s="144"/>
      <c r="C1" s="144"/>
      <c r="D1" s="144"/>
      <c r="E1" s="144"/>
      <c r="F1" s="144"/>
      <c r="G1" s="144"/>
      <c r="H1" s="144"/>
      <c r="I1" s="144"/>
      <c r="J1" s="144"/>
      <c r="K1" s="144"/>
      <c r="L1" s="144"/>
      <c r="M1" s="144"/>
    </row>
    <row r="3" spans="1:13" x14ac:dyDescent="0.3">
      <c r="A3" s="2" t="s">
        <v>70</v>
      </c>
      <c r="B3" s="2" t="s">
        <v>71</v>
      </c>
      <c r="C3" s="2" t="s">
        <v>72</v>
      </c>
      <c r="D3" s="2" t="s">
        <v>24</v>
      </c>
      <c r="E3" s="2" t="s">
        <v>25</v>
      </c>
      <c r="F3" s="2" t="s">
        <v>73</v>
      </c>
      <c r="G3" s="2" t="s">
        <v>74</v>
      </c>
      <c r="H3" s="2" t="s">
        <v>75</v>
      </c>
      <c r="I3" s="2" t="s">
        <v>76</v>
      </c>
      <c r="J3" s="2" t="s">
        <v>77</v>
      </c>
      <c r="K3" s="2" t="s">
        <v>78</v>
      </c>
      <c r="L3" s="2" t="s">
        <v>79</v>
      </c>
      <c r="M3" s="2" t="s">
        <v>80</v>
      </c>
    </row>
    <row r="4" spans="1:13" ht="15" customHeight="1" x14ac:dyDescent="0.3">
      <c r="A4" s="146" t="s">
        <v>719</v>
      </c>
      <c r="B4" s="146"/>
      <c r="C4" s="146"/>
      <c r="D4" s="146"/>
      <c r="E4" s="146"/>
      <c r="F4" s="146"/>
      <c r="G4" s="146"/>
      <c r="H4" s="146"/>
      <c r="I4" s="146"/>
      <c r="J4" s="146"/>
      <c r="K4" s="146"/>
      <c r="L4" s="146"/>
      <c r="M4" s="146"/>
    </row>
    <row r="5" spans="1:13" x14ac:dyDescent="0.3">
      <c r="A5" s="8" t="s">
        <v>616</v>
      </c>
      <c r="B5" s="8" t="s">
        <v>100</v>
      </c>
      <c r="C5" s="10" t="s">
        <v>617</v>
      </c>
      <c r="D5" s="8" t="s">
        <v>17</v>
      </c>
      <c r="E5" s="8" t="s">
        <v>68</v>
      </c>
      <c r="F5" s="15" t="s">
        <v>37</v>
      </c>
      <c r="G5" s="18" t="s">
        <v>32</v>
      </c>
      <c r="H5" s="16" t="s">
        <v>28</v>
      </c>
      <c r="I5" s="14" t="s">
        <v>92</v>
      </c>
      <c r="J5" s="14" t="s">
        <v>92</v>
      </c>
      <c r="K5" s="8" t="s">
        <v>260</v>
      </c>
      <c r="L5" s="8" t="s">
        <v>260</v>
      </c>
      <c r="M5" s="8" t="s">
        <v>224</v>
      </c>
    </row>
    <row r="6" spans="1:13" ht="26.4" x14ac:dyDescent="0.3">
      <c r="A6" s="8" t="s">
        <v>618</v>
      </c>
      <c r="B6" s="8" t="s">
        <v>100</v>
      </c>
      <c r="C6" s="10" t="s">
        <v>619</v>
      </c>
      <c r="D6" s="8" t="s">
        <v>17</v>
      </c>
      <c r="E6" s="8" t="s">
        <v>68</v>
      </c>
      <c r="F6" s="11" t="s">
        <v>83</v>
      </c>
      <c r="G6" s="18" t="s">
        <v>32</v>
      </c>
      <c r="H6" s="12" t="s">
        <v>31</v>
      </c>
      <c r="I6" s="14" t="s">
        <v>115</v>
      </c>
      <c r="J6" s="14" t="s">
        <v>620</v>
      </c>
      <c r="K6" s="8" t="s">
        <v>194</v>
      </c>
      <c r="L6" s="8" t="s">
        <v>175</v>
      </c>
      <c r="M6" s="8"/>
    </row>
    <row r="7" spans="1:13" ht="26.4" x14ac:dyDescent="0.3">
      <c r="A7" s="8" t="s">
        <v>621</v>
      </c>
      <c r="B7" s="8" t="s">
        <v>100</v>
      </c>
      <c r="C7" s="10" t="s">
        <v>622</v>
      </c>
      <c r="D7" s="8" t="s">
        <v>17</v>
      </c>
      <c r="E7" s="8" t="s">
        <v>68</v>
      </c>
      <c r="F7" s="11" t="s">
        <v>83</v>
      </c>
      <c r="G7" s="12" t="s">
        <v>33</v>
      </c>
      <c r="H7" s="16" t="s">
        <v>28</v>
      </c>
      <c r="I7" s="14" t="s">
        <v>92</v>
      </c>
      <c r="J7" s="14" t="s">
        <v>115</v>
      </c>
      <c r="K7" s="8" t="s">
        <v>377</v>
      </c>
      <c r="L7" s="8" t="s">
        <v>180</v>
      </c>
      <c r="M7" s="8" t="s">
        <v>104</v>
      </c>
    </row>
    <row r="8" spans="1:13" ht="26.4" x14ac:dyDescent="0.3">
      <c r="A8" s="8" t="s">
        <v>623</v>
      </c>
      <c r="B8" s="8" t="s">
        <v>100</v>
      </c>
      <c r="C8" s="10" t="s">
        <v>624</v>
      </c>
      <c r="D8" s="8" t="s">
        <v>17</v>
      </c>
      <c r="E8" s="8" t="s">
        <v>68</v>
      </c>
      <c r="F8" s="16" t="s">
        <v>36</v>
      </c>
      <c r="G8" s="12" t="s">
        <v>33</v>
      </c>
      <c r="H8" s="13" t="s">
        <v>27</v>
      </c>
      <c r="I8" s="14" t="s">
        <v>115</v>
      </c>
      <c r="J8" s="14" t="s">
        <v>115</v>
      </c>
      <c r="K8" s="8" t="s">
        <v>377</v>
      </c>
      <c r="L8" s="8" t="s">
        <v>180</v>
      </c>
      <c r="M8" s="8" t="s">
        <v>171</v>
      </c>
    </row>
    <row r="9" spans="1:13" ht="26.4" x14ac:dyDescent="0.3">
      <c r="A9" s="8" t="s">
        <v>625</v>
      </c>
      <c r="B9" s="8" t="s">
        <v>100</v>
      </c>
      <c r="C9" s="10" t="s">
        <v>626</v>
      </c>
      <c r="D9" s="8" t="s">
        <v>17</v>
      </c>
      <c r="E9" s="8" t="s">
        <v>68</v>
      </c>
      <c r="F9" s="11" t="s">
        <v>83</v>
      </c>
      <c r="G9" s="12" t="s">
        <v>33</v>
      </c>
      <c r="H9" s="13" t="s">
        <v>27</v>
      </c>
      <c r="I9" s="14" t="s">
        <v>92</v>
      </c>
      <c r="J9" s="14" t="s">
        <v>115</v>
      </c>
      <c r="K9" s="8" t="s">
        <v>180</v>
      </c>
      <c r="L9" s="8" t="s">
        <v>503</v>
      </c>
      <c r="M9" s="8" t="s">
        <v>216</v>
      </c>
    </row>
    <row r="10" spans="1:13" ht="26.4" x14ac:dyDescent="0.3">
      <c r="A10" s="8" t="s">
        <v>627</v>
      </c>
      <c r="B10" s="8" t="s">
        <v>100</v>
      </c>
      <c r="C10" s="10" t="s">
        <v>628</v>
      </c>
      <c r="D10" s="8" t="s">
        <v>17</v>
      </c>
      <c r="E10" s="8" t="s">
        <v>68</v>
      </c>
      <c r="F10" s="15" t="s">
        <v>37</v>
      </c>
      <c r="G10" s="12" t="s">
        <v>33</v>
      </c>
      <c r="H10" s="13" t="s">
        <v>27</v>
      </c>
      <c r="I10" s="14" t="s">
        <v>92</v>
      </c>
      <c r="J10" s="14" t="s">
        <v>115</v>
      </c>
      <c r="K10" s="8" t="s">
        <v>180</v>
      </c>
      <c r="L10" s="8" t="s">
        <v>629</v>
      </c>
      <c r="M10" s="8" t="s">
        <v>216</v>
      </c>
    </row>
    <row r="11" spans="1:13" ht="26.4" x14ac:dyDescent="0.3">
      <c r="A11" s="8" t="s">
        <v>630</v>
      </c>
      <c r="B11" s="8" t="s">
        <v>100</v>
      </c>
      <c r="C11" s="10" t="s">
        <v>631</v>
      </c>
      <c r="D11" s="8" t="s">
        <v>17</v>
      </c>
      <c r="E11" s="8" t="s">
        <v>68</v>
      </c>
      <c r="F11" s="11" t="s">
        <v>83</v>
      </c>
      <c r="G11" s="12" t="s">
        <v>33</v>
      </c>
      <c r="H11" s="13" t="s">
        <v>27</v>
      </c>
      <c r="I11" s="14"/>
      <c r="J11" s="14" t="s">
        <v>115</v>
      </c>
      <c r="K11" s="8" t="s">
        <v>180</v>
      </c>
      <c r="L11" s="8" t="s">
        <v>180</v>
      </c>
      <c r="M11" s="8" t="s">
        <v>216</v>
      </c>
    </row>
    <row r="12" spans="1:13" ht="26.4" x14ac:dyDescent="0.3">
      <c r="A12" s="8" t="s">
        <v>632</v>
      </c>
      <c r="B12" s="8" t="s">
        <v>100</v>
      </c>
      <c r="C12" s="10" t="s">
        <v>633</v>
      </c>
      <c r="D12" s="8" t="s">
        <v>17</v>
      </c>
      <c r="E12" s="8" t="s">
        <v>68</v>
      </c>
      <c r="F12" s="17" t="s">
        <v>634</v>
      </c>
      <c r="G12" s="12" t="s">
        <v>33</v>
      </c>
      <c r="H12" s="13" t="s">
        <v>27</v>
      </c>
      <c r="I12" s="14"/>
      <c r="J12" s="14" t="s">
        <v>115</v>
      </c>
      <c r="K12" s="8" t="s">
        <v>180</v>
      </c>
      <c r="L12" s="8" t="s">
        <v>180</v>
      </c>
      <c r="M12" s="8" t="s">
        <v>171</v>
      </c>
    </row>
    <row r="13" spans="1:13" ht="26.4" x14ac:dyDescent="0.3">
      <c r="A13" s="8" t="s">
        <v>635</v>
      </c>
      <c r="B13" s="8" t="s">
        <v>100</v>
      </c>
      <c r="C13" s="10" t="s">
        <v>636</v>
      </c>
      <c r="D13" s="8" t="s">
        <v>17</v>
      </c>
      <c r="E13" s="8" t="s">
        <v>68</v>
      </c>
      <c r="F13" s="11" t="s">
        <v>83</v>
      </c>
      <c r="G13" s="12" t="s">
        <v>33</v>
      </c>
      <c r="H13" s="13" t="s">
        <v>27</v>
      </c>
      <c r="I13" s="14"/>
      <c r="J13" s="14" t="s">
        <v>115</v>
      </c>
      <c r="K13" s="8" t="s">
        <v>180</v>
      </c>
      <c r="L13" s="8" t="s">
        <v>180</v>
      </c>
      <c r="M13" s="8" t="s">
        <v>637</v>
      </c>
    </row>
    <row r="14" spans="1:13" ht="26.4" x14ac:dyDescent="0.3">
      <c r="A14" s="8" t="s">
        <v>638</v>
      </c>
      <c r="B14" s="8" t="s">
        <v>100</v>
      </c>
      <c r="C14" s="10" t="s">
        <v>639</v>
      </c>
      <c r="D14" s="8" t="s">
        <v>17</v>
      </c>
      <c r="E14" s="8" t="s">
        <v>68</v>
      </c>
      <c r="F14" s="17" t="s">
        <v>634</v>
      </c>
      <c r="G14" s="12" t="s">
        <v>33</v>
      </c>
      <c r="H14" s="13" t="s">
        <v>27</v>
      </c>
      <c r="I14" s="14"/>
      <c r="J14" s="14" t="s">
        <v>115</v>
      </c>
      <c r="K14" s="8" t="s">
        <v>180</v>
      </c>
      <c r="L14" s="8" t="s">
        <v>180</v>
      </c>
      <c r="M14" s="8" t="s">
        <v>171</v>
      </c>
    </row>
    <row r="15" spans="1:13" ht="26.4" x14ac:dyDescent="0.3">
      <c r="A15" s="8" t="s">
        <v>640</v>
      </c>
      <c r="B15" s="8"/>
      <c r="C15" s="10" t="s">
        <v>641</v>
      </c>
      <c r="D15" s="8" t="s">
        <v>17</v>
      </c>
      <c r="E15" s="8" t="s">
        <v>68</v>
      </c>
      <c r="F15" s="11" t="s">
        <v>83</v>
      </c>
      <c r="G15" s="12" t="s">
        <v>33</v>
      </c>
      <c r="H15" s="13" t="s">
        <v>27</v>
      </c>
      <c r="I15" s="14" t="s">
        <v>84</v>
      </c>
      <c r="J15" s="14" t="s">
        <v>85</v>
      </c>
      <c r="K15" s="8" t="s">
        <v>86</v>
      </c>
      <c r="L15" s="8" t="s">
        <v>86</v>
      </c>
      <c r="M15" s="8"/>
    </row>
    <row r="16" spans="1:13" x14ac:dyDescent="0.3">
      <c r="A16" s="8" t="s">
        <v>642</v>
      </c>
      <c r="B16" s="8"/>
      <c r="C16" s="10" t="s">
        <v>643</v>
      </c>
      <c r="D16" s="8" t="s">
        <v>17</v>
      </c>
      <c r="E16" s="8" t="s">
        <v>68</v>
      </c>
      <c r="F16" s="11" t="s">
        <v>83</v>
      </c>
      <c r="G16" s="12" t="s">
        <v>33</v>
      </c>
      <c r="H16" s="13" t="s">
        <v>27</v>
      </c>
      <c r="I16" s="14" t="s">
        <v>92</v>
      </c>
      <c r="J16" s="14" t="s">
        <v>85</v>
      </c>
      <c r="K16" s="8" t="s">
        <v>644</v>
      </c>
      <c r="L16" s="8" t="s">
        <v>87</v>
      </c>
      <c r="M16" s="8"/>
    </row>
    <row r="17" spans="1:13" ht="26.4" x14ac:dyDescent="0.3">
      <c r="A17" s="8" t="s">
        <v>645</v>
      </c>
      <c r="B17" s="8"/>
      <c r="C17" s="10" t="s">
        <v>646</v>
      </c>
      <c r="D17" s="8" t="s">
        <v>17</v>
      </c>
      <c r="E17" s="8" t="s">
        <v>68</v>
      </c>
      <c r="F17" s="11" t="s">
        <v>83</v>
      </c>
      <c r="G17" s="12" t="s">
        <v>33</v>
      </c>
      <c r="H17" s="13" t="s">
        <v>27</v>
      </c>
      <c r="I17" s="14" t="s">
        <v>84</v>
      </c>
      <c r="J17" s="14" t="s">
        <v>85</v>
      </c>
      <c r="K17" s="8" t="s">
        <v>145</v>
      </c>
      <c r="L17" s="8" t="s">
        <v>145</v>
      </c>
      <c r="M17" s="8"/>
    </row>
    <row r="18" spans="1:13" ht="26.4" x14ac:dyDescent="0.3">
      <c r="A18" s="8" t="s">
        <v>647</v>
      </c>
      <c r="B18" s="8" t="s">
        <v>100</v>
      </c>
      <c r="C18" s="10" t="s">
        <v>648</v>
      </c>
      <c r="D18" s="8" t="s">
        <v>17</v>
      </c>
      <c r="E18" s="8" t="s">
        <v>68</v>
      </c>
      <c r="F18" s="11" t="s">
        <v>83</v>
      </c>
      <c r="G18" s="12" t="s">
        <v>33</v>
      </c>
      <c r="H18" s="13" t="s">
        <v>27</v>
      </c>
      <c r="I18" s="14" t="s">
        <v>115</v>
      </c>
      <c r="J18" s="14" t="s">
        <v>115</v>
      </c>
      <c r="K18" s="8" t="s">
        <v>649</v>
      </c>
      <c r="L18" s="8" t="s">
        <v>649</v>
      </c>
      <c r="M18" s="8" t="s">
        <v>216</v>
      </c>
    </row>
    <row r="19" spans="1:13" x14ac:dyDescent="0.3">
      <c r="A19" s="8" t="s">
        <v>650</v>
      </c>
      <c r="B19" s="8" t="s">
        <v>100</v>
      </c>
      <c r="C19" s="10" t="s">
        <v>651</v>
      </c>
      <c r="D19" s="8" t="s">
        <v>17</v>
      </c>
      <c r="E19" s="8" t="s">
        <v>68</v>
      </c>
      <c r="F19" s="11" t="s">
        <v>83</v>
      </c>
      <c r="G19" s="12" t="s">
        <v>33</v>
      </c>
      <c r="H19" s="16" t="s">
        <v>28</v>
      </c>
      <c r="I19" s="14" t="s">
        <v>92</v>
      </c>
      <c r="J19" s="14" t="s">
        <v>92</v>
      </c>
      <c r="K19" s="8" t="s">
        <v>649</v>
      </c>
      <c r="L19" s="8" t="s">
        <v>103</v>
      </c>
      <c r="M19" s="8" t="s">
        <v>104</v>
      </c>
    </row>
    <row r="20" spans="1:13" ht="26.4" x14ac:dyDescent="0.3">
      <c r="A20" s="8" t="s">
        <v>652</v>
      </c>
      <c r="B20" s="8" t="s">
        <v>588</v>
      </c>
      <c r="C20" s="10" t="s">
        <v>653</v>
      </c>
      <c r="D20" s="8" t="s">
        <v>17</v>
      </c>
      <c r="E20" s="8" t="s">
        <v>68</v>
      </c>
      <c r="F20" s="11" t="s">
        <v>83</v>
      </c>
      <c r="G20" s="12" t="s">
        <v>33</v>
      </c>
      <c r="H20" s="13" t="s">
        <v>27</v>
      </c>
      <c r="I20" s="14" t="s">
        <v>654</v>
      </c>
      <c r="J20" s="14" t="s">
        <v>115</v>
      </c>
      <c r="K20" s="8" t="s">
        <v>655</v>
      </c>
      <c r="L20" s="8" t="s">
        <v>180</v>
      </c>
      <c r="M20" s="8" t="s">
        <v>176</v>
      </c>
    </row>
    <row r="21" spans="1:13" ht="26.4" x14ac:dyDescent="0.3">
      <c r="A21" s="8" t="s">
        <v>656</v>
      </c>
      <c r="B21" s="8" t="s">
        <v>100</v>
      </c>
      <c r="C21" s="10" t="s">
        <v>657</v>
      </c>
      <c r="D21" s="8" t="s">
        <v>17</v>
      </c>
      <c r="E21" s="8" t="s">
        <v>68</v>
      </c>
      <c r="F21" s="15" t="s">
        <v>37</v>
      </c>
      <c r="G21" s="17" t="s">
        <v>34</v>
      </c>
      <c r="H21" s="13" t="s">
        <v>27</v>
      </c>
      <c r="I21" s="14" t="s">
        <v>92</v>
      </c>
      <c r="J21" s="14" t="s">
        <v>115</v>
      </c>
      <c r="K21" s="8" t="s">
        <v>377</v>
      </c>
      <c r="L21" s="8" t="s">
        <v>180</v>
      </c>
      <c r="M21" s="8" t="s">
        <v>216</v>
      </c>
    </row>
    <row r="22" spans="1:13" ht="26.4" x14ac:dyDescent="0.3">
      <c r="A22" s="8" t="s">
        <v>658</v>
      </c>
      <c r="B22" s="8" t="s">
        <v>100</v>
      </c>
      <c r="C22" s="10" t="s">
        <v>659</v>
      </c>
      <c r="D22" s="8" t="s">
        <v>17</v>
      </c>
      <c r="E22" s="8" t="s">
        <v>68</v>
      </c>
      <c r="F22" s="11" t="s">
        <v>83</v>
      </c>
      <c r="G22" s="17" t="s">
        <v>34</v>
      </c>
      <c r="H22" s="13" t="s">
        <v>27</v>
      </c>
      <c r="I22" s="14"/>
      <c r="J22" s="14" t="s">
        <v>115</v>
      </c>
      <c r="K22" s="8" t="s">
        <v>660</v>
      </c>
      <c r="L22" s="8" t="s">
        <v>661</v>
      </c>
      <c r="M22" s="8"/>
    </row>
    <row r="23" spans="1:13" x14ac:dyDescent="0.3">
      <c r="A23" s="8" t="s">
        <v>662</v>
      </c>
      <c r="B23" s="8" t="s">
        <v>100</v>
      </c>
      <c r="C23" s="10" t="s">
        <v>663</v>
      </c>
      <c r="D23" s="8" t="s">
        <v>17</v>
      </c>
      <c r="E23" s="8" t="s">
        <v>68</v>
      </c>
      <c r="F23" s="11" t="s">
        <v>83</v>
      </c>
      <c r="G23" s="17" t="s">
        <v>34</v>
      </c>
      <c r="H23" s="13" t="s">
        <v>27</v>
      </c>
      <c r="I23" s="14" t="s">
        <v>92</v>
      </c>
      <c r="J23" s="14" t="s">
        <v>92</v>
      </c>
      <c r="K23" s="8" t="s">
        <v>664</v>
      </c>
      <c r="L23" s="8" t="s">
        <v>103</v>
      </c>
      <c r="M23" s="8" t="s">
        <v>176</v>
      </c>
    </row>
    <row r="24" spans="1:13" ht="26.4" x14ac:dyDescent="0.3">
      <c r="A24" s="8" t="s">
        <v>665</v>
      </c>
      <c r="B24" s="8" t="s">
        <v>100</v>
      </c>
      <c r="C24" s="10" t="s">
        <v>666</v>
      </c>
      <c r="D24" s="8" t="s">
        <v>17</v>
      </c>
      <c r="E24" s="8" t="s">
        <v>68</v>
      </c>
      <c r="F24" s="11" t="s">
        <v>83</v>
      </c>
      <c r="G24" s="17" t="s">
        <v>34</v>
      </c>
      <c r="H24" s="13" t="s">
        <v>27</v>
      </c>
      <c r="I24" s="14" t="s">
        <v>115</v>
      </c>
      <c r="J24" s="14" t="s">
        <v>115</v>
      </c>
      <c r="K24" s="8" t="s">
        <v>649</v>
      </c>
      <c r="L24" s="8" t="s">
        <v>649</v>
      </c>
      <c r="M24" s="8" t="s">
        <v>176</v>
      </c>
    </row>
    <row r="25" spans="1:13" x14ac:dyDescent="0.3">
      <c r="A25" s="8" t="s">
        <v>667</v>
      </c>
      <c r="B25" s="8" t="s">
        <v>100</v>
      </c>
      <c r="C25" s="10" t="s">
        <v>668</v>
      </c>
      <c r="D25" s="8" t="s">
        <v>17</v>
      </c>
      <c r="E25" s="8" t="s">
        <v>68</v>
      </c>
      <c r="F25" s="11" t="s">
        <v>83</v>
      </c>
      <c r="G25" s="17" t="s">
        <v>34</v>
      </c>
      <c r="H25" s="13" t="s">
        <v>27</v>
      </c>
      <c r="I25" s="14" t="s">
        <v>92</v>
      </c>
      <c r="J25" s="14" t="s">
        <v>92</v>
      </c>
      <c r="K25" s="8" t="s">
        <v>649</v>
      </c>
      <c r="L25" s="8" t="s">
        <v>103</v>
      </c>
      <c r="M25" s="8" t="s">
        <v>176</v>
      </c>
    </row>
    <row r="26" spans="1:13" x14ac:dyDescent="0.3">
      <c r="A26" s="8" t="s">
        <v>669</v>
      </c>
      <c r="B26" s="8" t="s">
        <v>100</v>
      </c>
      <c r="C26" s="10" t="s">
        <v>670</v>
      </c>
      <c r="D26" s="8" t="s">
        <v>17</v>
      </c>
      <c r="E26" s="8" t="s">
        <v>68</v>
      </c>
      <c r="F26" s="15" t="s">
        <v>37</v>
      </c>
      <c r="G26" s="17" t="s">
        <v>34</v>
      </c>
      <c r="H26" s="16" t="s">
        <v>28</v>
      </c>
      <c r="I26" s="14" t="s">
        <v>92</v>
      </c>
      <c r="J26" s="14" t="s">
        <v>92</v>
      </c>
      <c r="K26" s="8" t="s">
        <v>649</v>
      </c>
      <c r="L26" s="8" t="s">
        <v>103</v>
      </c>
      <c r="M26" s="8" t="s">
        <v>104</v>
      </c>
    </row>
    <row r="27" spans="1:13" ht="26.4" x14ac:dyDescent="0.3">
      <c r="A27" s="8" t="s">
        <v>671</v>
      </c>
      <c r="B27" s="8" t="s">
        <v>163</v>
      </c>
      <c r="C27" s="10" t="s">
        <v>672</v>
      </c>
      <c r="D27" s="8" t="s">
        <v>17</v>
      </c>
      <c r="E27" s="8" t="s">
        <v>68</v>
      </c>
      <c r="F27" s="11" t="s">
        <v>83</v>
      </c>
      <c r="G27" s="15" t="s">
        <v>35</v>
      </c>
      <c r="H27" s="19" t="s">
        <v>257</v>
      </c>
      <c r="I27" s="14" t="s">
        <v>115</v>
      </c>
      <c r="J27" s="14" t="s">
        <v>188</v>
      </c>
      <c r="K27" s="8" t="s">
        <v>459</v>
      </c>
      <c r="L27" s="8" t="s">
        <v>288</v>
      </c>
      <c r="M27" s="8" t="s">
        <v>104</v>
      </c>
    </row>
    <row r="28" spans="1:13" ht="26.4" x14ac:dyDescent="0.3">
      <c r="A28" s="8" t="s">
        <v>673</v>
      </c>
      <c r="B28" s="8" t="s">
        <v>163</v>
      </c>
      <c r="C28" s="10" t="s">
        <v>674</v>
      </c>
      <c r="D28" s="8" t="s">
        <v>17</v>
      </c>
      <c r="E28" s="8" t="s">
        <v>68</v>
      </c>
      <c r="F28" s="11" t="s">
        <v>83</v>
      </c>
      <c r="G28" s="15" t="s">
        <v>35</v>
      </c>
      <c r="H28" s="13" t="s">
        <v>27</v>
      </c>
      <c r="I28" s="14" t="s">
        <v>115</v>
      </c>
      <c r="J28" s="14" t="s">
        <v>188</v>
      </c>
      <c r="K28" s="8" t="s">
        <v>459</v>
      </c>
      <c r="L28" s="8" t="s">
        <v>166</v>
      </c>
      <c r="M28" s="8" t="s">
        <v>277</v>
      </c>
    </row>
    <row r="29" spans="1:13" ht="26.4" x14ac:dyDescent="0.3">
      <c r="A29" s="8" t="s">
        <v>675</v>
      </c>
      <c r="B29" s="8"/>
      <c r="C29" s="10" t="s">
        <v>676</v>
      </c>
      <c r="D29" s="8" t="s">
        <v>17</v>
      </c>
      <c r="E29" s="8" t="s">
        <v>68</v>
      </c>
      <c r="F29" s="11" t="s">
        <v>83</v>
      </c>
      <c r="G29" s="15" t="s">
        <v>35</v>
      </c>
      <c r="H29" s="13" t="s">
        <v>27</v>
      </c>
      <c r="I29" s="14" t="s">
        <v>84</v>
      </c>
      <c r="J29" s="14" t="s">
        <v>188</v>
      </c>
      <c r="K29" s="8" t="s">
        <v>138</v>
      </c>
      <c r="L29" s="8" t="s">
        <v>138</v>
      </c>
      <c r="M29" s="8"/>
    </row>
    <row r="30" spans="1:13" ht="26.4" x14ac:dyDescent="0.3">
      <c r="A30" s="8" t="s">
        <v>677</v>
      </c>
      <c r="B30" s="8" t="s">
        <v>266</v>
      </c>
      <c r="C30" s="10" t="s">
        <v>678</v>
      </c>
      <c r="D30" s="8" t="s">
        <v>17</v>
      </c>
      <c r="E30" s="8" t="s">
        <v>68</v>
      </c>
      <c r="F30" s="11" t="s">
        <v>83</v>
      </c>
      <c r="G30" s="15" t="s">
        <v>35</v>
      </c>
      <c r="H30" s="13" t="s">
        <v>27</v>
      </c>
      <c r="I30" s="14" t="s">
        <v>85</v>
      </c>
      <c r="J30" s="14" t="s">
        <v>115</v>
      </c>
      <c r="K30" s="8" t="s">
        <v>679</v>
      </c>
      <c r="L30" s="8" t="s">
        <v>180</v>
      </c>
      <c r="M30" s="8" t="s">
        <v>176</v>
      </c>
    </row>
    <row r="31" spans="1:13" x14ac:dyDescent="0.3">
      <c r="A31" s="8" t="s">
        <v>680</v>
      </c>
      <c r="B31" s="8" t="s">
        <v>588</v>
      </c>
      <c r="C31" s="10" t="s">
        <v>681</v>
      </c>
      <c r="D31" s="8" t="s">
        <v>17</v>
      </c>
      <c r="E31" s="8" t="s">
        <v>68</v>
      </c>
      <c r="F31" s="17" t="s">
        <v>634</v>
      </c>
      <c r="G31" s="15" t="s">
        <v>35</v>
      </c>
      <c r="H31" s="13" t="s">
        <v>27</v>
      </c>
      <c r="I31" s="14"/>
      <c r="J31" s="14" t="s">
        <v>188</v>
      </c>
      <c r="K31" s="8" t="s">
        <v>682</v>
      </c>
      <c r="L31" s="8" t="s">
        <v>180</v>
      </c>
      <c r="M31" s="8" t="s">
        <v>176</v>
      </c>
    </row>
    <row r="32" spans="1:13" x14ac:dyDescent="0.3">
      <c r="A32" s="8" t="s">
        <v>683</v>
      </c>
      <c r="B32" s="8" t="s">
        <v>266</v>
      </c>
      <c r="C32" s="10" t="s">
        <v>684</v>
      </c>
      <c r="D32" s="8" t="s">
        <v>17</v>
      </c>
      <c r="E32" s="8" t="s">
        <v>68</v>
      </c>
      <c r="F32" s="17" t="s">
        <v>634</v>
      </c>
      <c r="G32" s="15" t="s">
        <v>35</v>
      </c>
      <c r="H32" s="13" t="s">
        <v>27</v>
      </c>
      <c r="I32" s="14"/>
      <c r="J32" s="14" t="s">
        <v>188</v>
      </c>
      <c r="K32" s="8" t="s">
        <v>685</v>
      </c>
      <c r="L32" s="8" t="s">
        <v>686</v>
      </c>
      <c r="M32" s="8" t="s">
        <v>176</v>
      </c>
    </row>
    <row r="33" spans="1:3" s="37" customFormat="1" ht="15.6" x14ac:dyDescent="0.3">
      <c r="A33" s="36" t="s">
        <v>723</v>
      </c>
    </row>
    <row r="34" spans="1:3" s="54" customFormat="1" ht="15.6" x14ac:dyDescent="0.3">
      <c r="A34" s="53"/>
    </row>
    <row r="35" spans="1:3" s="104" customFormat="1" x14ac:dyDescent="0.3">
      <c r="C35" s="105" t="s">
        <v>890</v>
      </c>
    </row>
    <row r="36" spans="1:3" x14ac:dyDescent="0.3">
      <c r="C36" s="65" t="s">
        <v>781</v>
      </c>
    </row>
    <row r="37" spans="1:3" x14ac:dyDescent="0.3">
      <c r="C37" s="65" t="s">
        <v>891</v>
      </c>
    </row>
    <row r="38" spans="1:3" x14ac:dyDescent="0.3">
      <c r="C38" s="65" t="s">
        <v>783</v>
      </c>
    </row>
  </sheetData>
  <mergeCells count="2">
    <mergeCell ref="A1:M1"/>
    <mergeCell ref="A4:M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Module Summary</vt:lpstr>
      <vt:lpstr>All Tickets (Master)</vt:lpstr>
      <vt:lpstr>Broker Dashboard</vt:lpstr>
      <vt:lpstr>Brand Modules</vt:lpstr>
      <vt:lpstr>STORE REPORT MGMT </vt:lpstr>
      <vt:lpstr>Reports</vt:lpstr>
      <vt:lpstr>Admin</vt:lpstr>
      <vt:lpstr>Platform &amp; Cross-Cutting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Tauhid-Aitpc</cp:lastModifiedBy>
  <cp:revision>0</cp:revision>
  <dcterms:created xsi:type="dcterms:W3CDTF">2026-06-25T20:16:33Z</dcterms:created>
  <dcterms:modified xsi:type="dcterms:W3CDTF">2026-09-02T14:19:19Z</dcterms:modified>
  <dc:language>en-US</dc:language>
</cp:coreProperties>
</file>